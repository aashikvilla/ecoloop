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0dd413a602849b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Overview" sheetId="1" r:id="Rdcb8b14dda7f4e6d"/>
    <x:sheet xmlns:r="http://schemas.openxmlformats.org/officeDocument/2006/relationships" name="Tasks" sheetId="2" r:id="R1e4c232bbf564542"/>
    <x:sheet xmlns:r="http://schemas.openxmlformats.org/officeDocument/2006/relationships" name="Decisions" sheetId="3" r:id="Rf43fe0d157834a66"/>
    <x:sheet xmlns:r="http://schemas.openxmlformats.org/officeDocument/2006/relationships" name="Risks" sheetId="4" r:id="Raa5c88f0a9c74bfa"/>
    <x:sheet xmlns:r="http://schemas.openxmlformats.org/officeDocument/2006/relationships" name="Sessions" sheetId="5" r:id="R9a6cd2c95a344cc5"/>
    <x:sheet xmlns:r="http://schemas.openxmlformats.org/officeDocument/2006/relationships" name="Guide" sheetId="6" r:id="R83893e7a063b441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"/>
    <x:numFmt numFmtId="201" formatCode="0%"/>
  </x:numFmts>
  <x:fonts count="4">
    <x:font>
      <x:sz val="11"/>
      <x:name val="Carlito"/>
    </x:font>
    <x:font>
      <x:sz val="10"/>
      <x:color rgb="FF111111"/>
      <x:name val="Arial"/>
    </x:font>
    <x:font>
      <x:b/>
      <x:sz val="14"/>
      <x:color rgb="FF111111"/>
      <x:name val="Arial"/>
    </x:font>
    <x:font>
      <x:b/>
      <x:sz val="10"/>
      <x:color rgb="FF111111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EEEEEE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1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vertic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2" borderId="0" xfId="0" applyNumberFormat="1" applyFont="1" applyFill="1" applyBorder="1" applyAlignment="1">
      <x:alignment vertical="center"/>
    </x:xf>
    <x:xf numFmtId="0" fontId="3" fillId="2" borderId="0" xfId="0" applyNumberFormat="1" applyFont="1" applyFill="1" applyBorder="1" applyAlignment="1">
      <x:alignment vertical="center"/>
    </x:xf>
    <x:xf numFmtId="0" fontId="3" fillId="2" borderId="0" xfId="0" applyNumberFormat="1" applyFont="1" applyFill="1" applyBorder="1" applyAlignment="1">
      <x:alignment vertical="center" wrapText="1"/>
    </x:xf>
    <x:xf numFmtId="0" fontId="1" fillId="0" borderId="0" xfId="0" applyNumberFormat="1" applyFont="1" applyFill="1" applyBorder="1" applyAlignment="1">
      <x:alignment vertical="center" wrapText="1"/>
    </x:xf>
    <x:xf numFmtId="200" fontId="1" fillId="0" borderId="0" xfId="0" applyNumberFormat="1" applyFont="1" applyFill="1" applyBorder="1" applyAlignment="1">
      <x:alignment vertical="center"/>
    </x:xf>
    <x:xf numFmtId="201" fontId="1" fillId="0" borderId="0" xfId="0" applyNumberFormat="1" applyFont="1" applyFill="1" applyBorder="1" applyAlignment="1">
      <x:alignment vertical="center"/>
    </x:xf>
  </x:cellXfs>
  <x:cellStyles count="1">
    <x:cellStyle name="Normal" xfId="0"/>
  </x:cellStyles>
  <x:dxfs count="3">
    <x:dxf>
      <x:font>
        <x:color rgb="FF9C1C15"/>
      </x:font>
      <x:fill>
        <x:patternFill patternType="solid">
          <x:bgColor rgb="FFFCE8E6"/>
        </x:patternFill>
      </x:fill>
    </x:dxf>
    <x:dxf>
      <x:fill>
        <x:patternFill patternType="solid">
          <x:bgColor rgb="FFFFF3CD"/>
        </x:patternFill>
      </x:fill>
    </x:dxf>
    <x:dxf>
      <x:font>
        <x:b/>
      </x:font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443a864ff6a4da6" /><Relationship Type="http://schemas.openxmlformats.org/officeDocument/2006/relationships/theme" Target="/xl/theme/theme1.xml" Id="R68992d3a89e74158" /><Relationship Type="http://schemas.microsoft.com/office/2022/11/relationships/FeaturePropertyBag" Target="/xl/featurePropertyBag/featurePropertyBag.xml" Id="R89342d8063254eba" /><Relationship Type="http://schemas.openxmlformats.org/officeDocument/2006/relationships/sharedStrings" Target="/xl/sharedStrings.xml" Id="R7f86b8188e5c439e" /><Relationship Type="http://schemas.openxmlformats.org/officeDocument/2006/relationships/worksheet" Target="/xl/worksheets/sheet1.xml" Id="Rdcb8b14dda7f4e6d" /><Relationship Type="http://schemas.openxmlformats.org/officeDocument/2006/relationships/worksheet" Target="/xl/worksheets/sheet2.xml" Id="R1e4c232bbf564542" /><Relationship Type="http://schemas.openxmlformats.org/officeDocument/2006/relationships/worksheet" Target="/xl/worksheets/sheet3.xml" Id="Rf43fe0d157834a66" /><Relationship Type="http://schemas.openxmlformats.org/officeDocument/2006/relationships/worksheet" Target="/xl/worksheets/sheet4.xml" Id="Raa5c88f0a9c74bfa" /><Relationship Type="http://schemas.openxmlformats.org/officeDocument/2006/relationships/worksheet" Target="/xl/worksheets/sheet5.xml" Id="R9a6cd2c95a344cc5" /><Relationship Type="http://schemas.openxmlformats.org/officeDocument/2006/relationships/worksheet" Target="/xl/worksheets/sheet6.xml" Id="R83893e7a063b4416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1" workbookViewId="0"/>
  </x:sheetViews>
  <x:sheetFormatPr defaultRowHeight="15"/>
  <x:cols>
    <x:col min="1" max="1" width="20" hidden="0" customWidth="1"/>
    <x:col min="2" max="2" width="46.880001068115234" hidden="0" customWidth="1"/>
    <x:col min="3" max="3" width="11.880000114440918" hidden="0" customWidth="1"/>
    <x:col min="4" max="4" width="8.75" hidden="0" customWidth="1"/>
    <x:col min="5" max="5" width="10" hidden="0" customWidth="1"/>
    <x:col min="6" max="6" width="10.630000114440918" hidden="0" customWidth="1"/>
    <x:col min="7" max="7" width="11.880000114440918" hidden="0" customWidth="1"/>
    <x:col min="8" max="8" width="15" hidden="0" customWidth="1"/>
    <x:col min="9" max="9" width="18.1299991607666" hidden="0" customWidth="1"/>
  </x:cols>
  <x:sheetData>
    <x:row r="1" ht="26" customHeight="1">
      <x:c r="A1" s="3" t="str">
        <x:v>EcoLoop execution harness</x:v>
      </x:c>
      <x:c r="B1" s="2"/>
      <x:c r="C1" s="2"/>
      <x:c r="D1" s="2"/>
      <x:c r="E1" s="2"/>
      <x:c r="F1" s="2"/>
      <x:c r="G1" s="2"/>
      <x:c r="H1" s="2"/>
      <x:c r="I1" s="2"/>
    </x:row>
    <x:row r="2">
      <x:c r="A2" s="2" t="str">
        <x:v>As of 15 October 2026 · Collaborative planning · No application implementation claimed</x:v>
      </x:c>
      <x:c r="B2" s="2"/>
      <x:c r="C2" s="2"/>
      <x:c r="D2" s="2"/>
      <x:c r="E2" s="2"/>
      <x:c r="F2" s="2"/>
      <x:c r="G2" s="2"/>
      <x:c r="H2" s="2"/>
      <x:c r="I2" s="2"/>
    </x:row>
    <x:row r="3">
      <x:c r="A3" s="2" t="str">
        <x:v>Update Tasks inputs; phase progress counts leaf units and gates once.</x:v>
      </x:c>
      <x:c r="B3" s="2"/>
      <x:c r="C3" s="2"/>
      <x:c r="D3" s="2"/>
      <x:c r="E3" s="2"/>
      <x:c r="F3" s="2"/>
      <x:c r="G3" s="2"/>
      <x:c r="H3" s="2"/>
      <x:c r="I3" s="2"/>
    </x:row>
    <x:row r="4">
      <x:c r="A4" s="2"/>
      <x:c r="B4" s="2"/>
      <x:c r="C4" s="2"/>
      <x:c r="D4" s="2"/>
      <x:c r="E4" s="2"/>
      <x:c r="F4" s="2"/>
      <x:c r="G4" s="2"/>
      <x:c r="H4" s="2"/>
      <x:c r="I4" s="2"/>
    </x:row>
    <x:row r="5" ht="32" customHeight="1">
      <x:c r="A5" s="7" t="str">
        <x:v>Phase</x:v>
      </x:c>
      <x:c r="B5" s="7" t="str">
        <x:v>Outcome</x:v>
      </x:c>
      <x:c r="C5" s="7" t="str">
        <x:v>Horizon</x:v>
      </x:c>
      <x:c r="D5" s="7" t="str">
        <x:v>Units</x:v>
      </x:c>
      <x:c r="E5" s="7" t="str">
        <x:v>Verified</x:v>
      </x:c>
      <x:c r="F5" s="7" t="str">
        <x:v>Progress</x:v>
      </x:c>
      <x:c r="G5" s="7" t="str">
        <x:v>In progress</x:v>
      </x:c>
      <x:c r="H5" s="7" t="str">
        <x:v>Dependency open</x:v>
      </x:c>
      <x:c r="I5" s="7" t="str">
        <x:v>Phase gate</x:v>
      </x:c>
    </x:row>
    <x:row r="6" ht="38" customHeight="1">
      <x:c r="A6" s="2" t="str">
        <x:v>P00</x:v>
      </x:c>
      <x:c r="B6" s="8" t="str">
        <x:v>Planning and scope approval</x:v>
      </x:c>
      <x:c r="C6" s="2" t="str">
        <x:v>Planning</x:v>
      </x:c>
      <x:c r="D6" s="2" t="n">
        <x:f>COUNTIFS(Tasks!$B$6:$B$161,A6)</x:f>
        <x:v>13</x:v>
      </x:c>
      <x:c r="E6" s="2" t="n">
        <x:f>COUNTIFS(Tasks!$B$6:$B$161,A6,Tasks!$H$6:$H$161,"Verified")</x:f>
        <x:v>0</x:v>
      </x:c>
      <x:c r="F6" s="10" t="n">
        <x:f>IF(D6=0,"No units",E6/D6)</x:f>
        <x:v>0</x:v>
      </x:c>
      <x:c r="G6" s="2" t="n">
        <x:f>COUNTIFS(Tasks!$B$6:$B$161,A6,Tasks!$F$6:$F$161,"In progress")</x:f>
        <x:v>0</x:v>
      </x:c>
      <x:c r="H6" s="2" t="n">
        <x:f>COUNTIFS(Tasks!$B$6:$B$161,A6,Tasks!$H$6:$H$161,"Dependency open")</x:f>
        <x:v>10</x:v>
      </x:c>
      <x:c r="I6" s="2" t="str">
        <x:f>VLOOKUP(A6&amp;".90.01",Tasks!$A$6:$H$161,8,FALSE)</x:f>
        <x:v>Dependency open</x:v>
      </x:c>
    </x:row>
    <x:row r="7" ht="38" customHeight="1">
      <x:c r="A7" s="2" t="str">
        <x:v>P01</x:v>
      </x:c>
      <x:c r="B7" s="8" t="str">
        <x:v>Trusted foundation and contracts</x:v>
      </x:c>
      <x:c r="C7" s="2" t="str">
        <x:v>Demo</x:v>
      </x:c>
      <x:c r="D7" s="2" t="n">
        <x:f>COUNTIFS(Tasks!$B$6:$B$161,A7)</x:f>
        <x:v>13</x:v>
      </x:c>
      <x:c r="E7" s="2" t="n">
        <x:f>COUNTIFS(Tasks!$B$6:$B$161,A7,Tasks!$H$6:$H$161,"Verified")</x:f>
        <x:v>0</x:v>
      </x:c>
      <x:c r="F7" s="10" t="n">
        <x:f>IF(D7=0,"No units",E7/D7)</x:f>
        <x:v>0</x:v>
      </x:c>
      <x:c r="G7" s="2" t="n">
        <x:f>COUNTIFS(Tasks!$B$6:$B$161,A7,Tasks!$F$6:$F$161,"In progress")</x:f>
        <x:v>0</x:v>
      </x:c>
      <x:c r="H7" s="2" t="n">
        <x:f>COUNTIFS(Tasks!$B$6:$B$161,A7,Tasks!$H$6:$H$161,"Dependency open")</x:f>
        <x:v>13</x:v>
      </x:c>
      <x:c r="I7" s="2" t="str">
        <x:f>VLOOKUP(A7&amp;".90.01",Tasks!$A$6:$H$161,8,FALSE)</x:f>
        <x:v>Dependency open</x:v>
      </x:c>
    </x:row>
    <x:row r="8" ht="38" customHeight="1">
      <x:c r="A8" s="2" t="str">
        <x:v>P02</x:v>
      </x:c>
      <x:c r="B8" s="8" t="str">
        <x:v>Deterministic baseline and synthetic household flow</x:v>
      </x:c>
      <x:c r="C8" s="2" t="str">
        <x:v>Demo</x:v>
      </x:c>
      <x:c r="D8" s="2" t="n">
        <x:f>COUNTIFS(Tasks!$B$6:$B$161,A8)</x:f>
        <x:v>13</x:v>
      </x:c>
      <x:c r="E8" s="2" t="n">
        <x:f>COUNTIFS(Tasks!$B$6:$B$161,A8,Tasks!$H$6:$H$161,"Verified")</x:f>
        <x:v>0</x:v>
      </x:c>
      <x:c r="F8" s="10" t="n">
        <x:f>IF(D8=0,"No units",E8/D8)</x:f>
        <x:v>0</x:v>
      </x:c>
      <x:c r="G8" s="2" t="n">
        <x:f>COUNTIFS(Tasks!$B$6:$B$161,A8,Tasks!$F$6:$F$161,"In progress")</x:f>
        <x:v>0</x:v>
      </x:c>
      <x:c r="H8" s="2" t="n">
        <x:f>COUNTIFS(Tasks!$B$6:$B$161,A8,Tasks!$H$6:$H$161,"Dependency open")</x:f>
        <x:v>13</x:v>
      </x:c>
      <x:c r="I8" s="2" t="str">
        <x:f>VLOOKUP(A8&amp;".90.01",Tasks!$A$6:$H$161,8,FALSE)</x:f>
        <x:v>Dependency open</x:v>
      </x:c>
    </x:row>
    <x:row r="9" ht="38" customHeight="1">
      <x:c r="A9" s="2" t="str">
        <x:v>P03</x:v>
      </x:c>
      <x:c r="B9" s="8" t="str">
        <x:v>Gemini intake and single-orchestrator household journey</x:v>
      </x:c>
      <x:c r="C9" s="2" t="str">
        <x:v>Demo</x:v>
      </x:c>
      <x:c r="D9" s="2" t="n">
        <x:f>COUNTIFS(Tasks!$B$6:$B$161,A9)</x:f>
        <x:v>13</x:v>
      </x:c>
      <x:c r="E9" s="2" t="n">
        <x:f>COUNTIFS(Tasks!$B$6:$B$161,A9,Tasks!$H$6:$H$161,"Verified")</x:f>
        <x:v>0</x:v>
      </x:c>
      <x:c r="F9" s="10" t="n">
        <x:f>IF(D9=0,"No units",E9/D9)</x:f>
        <x:v>0</x:v>
      </x:c>
      <x:c r="G9" s="2" t="n">
        <x:f>COUNTIFS(Tasks!$B$6:$B$161,A9,Tasks!$F$6:$F$161,"In progress")</x:f>
        <x:v>0</x:v>
      </x:c>
      <x:c r="H9" s="2" t="n">
        <x:f>COUNTIFS(Tasks!$B$6:$B$161,A9,Tasks!$H$6:$H$161,"Dependency open")</x:f>
        <x:v>13</x:v>
      </x:c>
      <x:c r="I9" s="2" t="str">
        <x:f>VLOOKUP(A9&amp;".90.01",Tasks!$A$6:$H$161,8,FALSE)</x:f>
        <x:v>Dependency open</x:v>
      </x:c>
    </x:row>
    <x:row r="10" ht="38" customHeight="1">
      <x:c r="A10" s="2" t="str">
        <x:v>P04</x:v>
      </x:c>
      <x:c r="B10" s="8" t="str">
        <x:v>Google deployment and submission readiness</x:v>
      </x:c>
      <x:c r="C10" s="2" t="str">
        <x:v>Demo</x:v>
      </x:c>
      <x:c r="D10" s="2" t="n">
        <x:f>COUNTIFS(Tasks!$B$6:$B$161,A10)</x:f>
        <x:v>13</x:v>
      </x:c>
      <x:c r="E10" s="2" t="n">
        <x:f>COUNTIFS(Tasks!$B$6:$B$161,A10,Tasks!$H$6:$H$161,"Verified")</x:f>
        <x:v>0</x:v>
      </x:c>
      <x:c r="F10" s="10" t="n">
        <x:f>IF(D10=0,"No units",E10/D10)</x:f>
        <x:v>0</x:v>
      </x:c>
      <x:c r="G10" s="2" t="n">
        <x:f>COUNTIFS(Tasks!$B$6:$B$161,A10,Tasks!$F$6:$F$161,"In progress")</x:f>
        <x:v>0</x:v>
      </x:c>
      <x:c r="H10" s="2" t="n">
        <x:f>COUNTIFS(Tasks!$B$6:$B$161,A10,Tasks!$H$6:$H$161,"Dependency open")</x:f>
        <x:v>13</x:v>
      </x:c>
      <x:c r="I10" s="2" t="str">
        <x:f>VLOOKUP(A10&amp;".90.01",Tasks!$A$6:$H$161,8,FALSE)</x:f>
        <x:v>Dependency open</x:v>
      </x:c>
    </x:row>
    <x:row r="11" ht="38" customHeight="1">
      <x:c r="A11" s="2" t="str">
        <x:v>P05</x:v>
      </x:c>
      <x:c r="B11" s="8" t="str">
        <x:v>Institutional kitchen extension</x:v>
      </x:c>
      <x:c r="C11" s="2" t="str">
        <x:v>Expansion</x:v>
      </x:c>
      <x:c r="D11" s="2" t="n">
        <x:f>COUNTIFS(Tasks!$B$6:$B$161,A11)</x:f>
        <x:v>13</x:v>
      </x:c>
      <x:c r="E11" s="2" t="n">
        <x:f>COUNTIFS(Tasks!$B$6:$B$161,A11,Tasks!$H$6:$H$161,"Verified")</x:f>
        <x:v>0</x:v>
      </x:c>
      <x:c r="F11" s="10" t="n">
        <x:f>IF(D11=0,"No units",E11/D11)</x:f>
        <x:v>0</x:v>
      </x:c>
      <x:c r="G11" s="2" t="n">
        <x:f>COUNTIFS(Tasks!$B$6:$B$161,A11,Tasks!$F$6:$F$161,"In progress")</x:f>
        <x:v>0</x:v>
      </x:c>
      <x:c r="H11" s="2" t="n">
        <x:f>COUNTIFS(Tasks!$B$6:$B$161,A11,Tasks!$H$6:$H$161,"Dependency open")</x:f>
        <x:v>13</x:v>
      </x:c>
      <x:c r="I11" s="2" t="str">
        <x:f>VLOOKUP(A11&amp;".90.01",Tasks!$A$6:$H$161,8,FALSE)</x:f>
        <x:v>Dependency open</x:v>
      </x:c>
    </x:row>
    <x:row r="12" ht="38" customHeight="1">
      <x:c r="A12" s="2" t="str">
        <x:v>P06</x:v>
      </x:c>
      <x:c r="B12" s="8" t="str">
        <x:v>Qualified recovery coordination</x:v>
      </x:c>
      <x:c r="C12" s="2" t="str">
        <x:v>Expansion</x:v>
      </x:c>
      <x:c r="D12" s="2" t="n">
        <x:f>COUNTIFS(Tasks!$B$6:$B$161,A12)</x:f>
        <x:v>13</x:v>
      </x:c>
      <x:c r="E12" s="2" t="n">
        <x:f>COUNTIFS(Tasks!$B$6:$B$161,A12,Tasks!$H$6:$H$161,"Verified")</x:f>
        <x:v>0</x:v>
      </x:c>
      <x:c r="F12" s="10" t="n">
        <x:f>IF(D12=0,"No units",E12/D12)</x:f>
        <x:v>0</x:v>
      </x:c>
      <x:c r="G12" s="2" t="n">
        <x:f>COUNTIFS(Tasks!$B$6:$B$161,A12,Tasks!$F$6:$F$161,"In progress")</x:f>
        <x:v>0</x:v>
      </x:c>
      <x:c r="H12" s="2" t="n">
        <x:f>COUNTIFS(Tasks!$B$6:$B$161,A12,Tasks!$H$6:$H$161,"Dependency open")</x:f>
        <x:v>13</x:v>
      </x:c>
      <x:c r="I12" s="2" t="str">
        <x:f>VLOOKUP(A12&amp;".90.01",Tasks!$A$6:$H$161,8,FALSE)</x:f>
        <x:v>Dependency open</x:v>
      </x:c>
    </x:row>
    <x:row r="13" ht="38" customHeight="1">
      <x:c r="A13" s="2" t="str">
        <x:v>P07</x:v>
      </x:c>
      <x:c r="B13" s="8" t="str">
        <x:v>Organics and processor evidence</x:v>
      </x:c>
      <x:c r="C13" s="2" t="str">
        <x:v>Expansion</x:v>
      </x:c>
      <x:c r="D13" s="2" t="n">
        <x:f>COUNTIFS(Tasks!$B$6:$B$161,A13)</x:f>
        <x:v>13</x:v>
      </x:c>
      <x:c r="E13" s="2" t="n">
        <x:f>COUNTIFS(Tasks!$B$6:$B$161,A13,Tasks!$H$6:$H$161,"Verified")</x:f>
        <x:v>0</x:v>
      </x:c>
      <x:c r="F13" s="10" t="n">
        <x:f>IF(D13=0,"No units",E13/D13)</x:f>
        <x:v>0</x:v>
      </x:c>
      <x:c r="G13" s="2" t="n">
        <x:f>COUNTIFS(Tasks!$B$6:$B$161,A13,Tasks!$F$6:$F$161,"In progress")</x:f>
        <x:v>0</x:v>
      </x:c>
      <x:c r="H13" s="2" t="n">
        <x:f>COUNTIFS(Tasks!$B$6:$B$161,A13,Tasks!$H$6:$H$161,"Dependency open")</x:f>
        <x:v>13</x:v>
      </x:c>
      <x:c r="I13" s="2" t="str">
        <x:f>VLOOKUP(A13&amp;".90.01",Tasks!$A$6:$H$161,8,FALSE)</x:f>
        <x:v>Dependency open</x:v>
      </x:c>
    </x:row>
    <x:row r="14" ht="38" customHeight="1">
      <x:c r="A14" s="2" t="str">
        <x:v>P08</x:v>
      </x:c>
      <x:c r="B14" s="8" t="str">
        <x:v>Permissioned pilot and operating model</x:v>
      </x:c>
      <x:c r="C14" s="2" t="str">
        <x:v>Pilot</x:v>
      </x:c>
      <x:c r="D14" s="2" t="n">
        <x:f>COUNTIFS(Tasks!$B$6:$B$161,A14)</x:f>
        <x:v>13</x:v>
      </x:c>
      <x:c r="E14" s="2" t="n">
        <x:f>COUNTIFS(Tasks!$B$6:$B$161,A14,Tasks!$H$6:$H$161,"Verified")</x:f>
        <x:v>0</x:v>
      </x:c>
      <x:c r="F14" s="10" t="n">
        <x:f>IF(D14=0,"No units",E14/D14)</x:f>
        <x:v>0</x:v>
      </x:c>
      <x:c r="G14" s="2" t="n">
        <x:f>COUNTIFS(Tasks!$B$6:$B$161,A14,Tasks!$F$6:$F$161,"In progress")</x:f>
        <x:v>0</x:v>
      </x:c>
      <x:c r="H14" s="2" t="n">
        <x:f>COUNTIFS(Tasks!$B$6:$B$161,A14,Tasks!$H$6:$H$161,"Dependency open")</x:f>
        <x:v>13</x:v>
      </x:c>
      <x:c r="I14" s="2" t="str">
        <x:f>VLOOKUP(A14&amp;".90.01",Tasks!$A$6:$H$161,8,FALSE)</x:f>
        <x:v>Dependency open</x:v>
      </x:c>
    </x:row>
    <x:row r="15" ht="38" customHeight="1">
      <x:c r="A15" s="2" t="str">
        <x:v>P09</x:v>
      </x:c>
      <x:c r="B15" s="8" t="str">
        <x:v>Repair reuse and material exchange discovery</x:v>
      </x:c>
      <x:c r="C15" s="2" t="str">
        <x:v>Expansion</x:v>
      </x:c>
      <x:c r="D15" s="2" t="n">
        <x:f>COUNTIFS(Tasks!$B$6:$B$161,A15)</x:f>
        <x:v>13</x:v>
      </x:c>
      <x:c r="E15" s="2" t="n">
        <x:f>COUNTIFS(Tasks!$B$6:$B$161,A15,Tasks!$H$6:$H$161,"Verified")</x:f>
        <x:v>0</x:v>
      </x:c>
      <x:c r="F15" s="10" t="n">
        <x:f>IF(D15=0,"No units",E15/D15)</x:f>
        <x:v>0</x:v>
      </x:c>
      <x:c r="G15" s="2" t="n">
        <x:f>COUNTIFS(Tasks!$B$6:$B$161,A15,Tasks!$F$6:$F$161,"In progress")</x:f>
        <x:v>0</x:v>
      </x:c>
      <x:c r="H15" s="2" t="n">
        <x:f>COUNTIFS(Tasks!$B$6:$B$161,A15,Tasks!$H$6:$H$161,"Dependency open")</x:f>
        <x:v>13</x:v>
      </x:c>
      <x:c r="I15" s="2" t="str">
        <x:f>VLOOKUP(A15&amp;".90.01",Tasks!$A$6:$H$161,8,FALSE)</x:f>
        <x:v>Dependency open</x:v>
      </x:c>
    </x:row>
    <x:row r="16" ht="38" customHeight="1">
      <x:c r="A16" s="2" t="str">
        <x:v>P10</x:v>
      </x:c>
      <x:c r="B16" s="8" t="str">
        <x:v>Energy and water modules discovery</x:v>
      </x:c>
      <x:c r="C16" s="2" t="str">
        <x:v>Expansion</x:v>
      </x:c>
      <x:c r="D16" s="2" t="n">
        <x:f>COUNTIFS(Tasks!$B$6:$B$161,A16)</x:f>
        <x:v>13</x:v>
      </x:c>
      <x:c r="E16" s="2" t="n">
        <x:f>COUNTIFS(Tasks!$B$6:$B$161,A16,Tasks!$H$6:$H$161,"Verified")</x:f>
        <x:v>0</x:v>
      </x:c>
      <x:c r="F16" s="10" t="n">
        <x:f>IF(D16=0,"No units",E16/D16)</x:f>
        <x:v>0</x:v>
      </x:c>
      <x:c r="G16" s="2" t="n">
        <x:f>COUNTIFS(Tasks!$B$6:$B$161,A16,Tasks!$F$6:$F$161,"In progress")</x:f>
        <x:v>0</x:v>
      </x:c>
      <x:c r="H16" s="2" t="n">
        <x:f>COUNTIFS(Tasks!$B$6:$B$161,A16,Tasks!$H$6:$H$161,"Dependency open")</x:f>
        <x:v>13</x:v>
      </x:c>
      <x:c r="I16" s="2" t="str">
        <x:f>VLOOKUP(A16&amp;".90.01",Tasks!$A$6:$H$161,8,FALSE)</x:f>
        <x:v>Dependency open</x:v>
      </x:c>
    </x:row>
    <x:row r="17" ht="38" customHeight="1">
      <x:c r="A17" s="2" t="str">
        <x:v>P11</x:v>
      </x:c>
      <x:c r="B17" s="8" t="str">
        <x:v>Ecosystem scale and commercial reliability</x:v>
      </x:c>
      <x:c r="C17" s="2" t="str">
        <x:v>Scale</x:v>
      </x:c>
      <x:c r="D17" s="2" t="n">
        <x:f>COUNTIFS(Tasks!$B$6:$B$161,A17)</x:f>
        <x:v>13</x:v>
      </x:c>
      <x:c r="E17" s="2" t="n">
        <x:f>COUNTIFS(Tasks!$B$6:$B$161,A17,Tasks!$H$6:$H$161,"Verified")</x:f>
        <x:v>0</x:v>
      </x:c>
      <x:c r="F17" s="10" t="n">
        <x:f>IF(D17=0,"No units",E17/D17)</x:f>
        <x:v>0</x:v>
      </x:c>
      <x:c r="G17" s="2" t="n">
        <x:f>COUNTIFS(Tasks!$B$6:$B$161,A17,Tasks!$F$6:$F$161,"In progress")</x:f>
        <x:v>0</x:v>
      </x:c>
      <x:c r="H17" s="2" t="n">
        <x:f>COUNTIFS(Tasks!$B$6:$B$161,A17,Tasks!$H$6:$H$161,"Dependency open")</x:f>
        <x:v>13</x:v>
      </x:c>
      <x:c r="I17" s="2" t="str">
        <x:f>VLOOKUP(A17&amp;".90.01",Tasks!$A$6:$H$161,8,FALSE)</x:f>
        <x:v>Dependency open</x:v>
      </x:c>
    </x:row>
    <x:row r="18">
      <x:c r="A18" s="2"/>
      <x:c r="B18" s="2"/>
      <x:c r="C18" s="2"/>
      <x:c r="D18" s="2"/>
      <x:c r="E18" s="2"/>
      <x:c r="F18" s="2"/>
      <x:c r="G18" s="2"/>
      <x:c r="H18" s="2"/>
      <x:c r="I18" s="2"/>
    </x:row>
    <x:row r="19">
      <x:c r="A19" s="2"/>
      <x:c r="B19" s="2"/>
      <x:c r="C19" s="2"/>
      <x:c r="D19" s="2"/>
      <x:c r="E19" s="2"/>
      <x:c r="F19" s="2"/>
      <x:c r="G19" s="2"/>
      <x:c r="H19" s="2"/>
      <x:c r="I19" s="2"/>
    </x:row>
    <x:row r="20">
      <x:c r="A20" s="2" t="str">
        <x:v>Total planned units</x:v>
      </x:c>
      <x:c r="B20" s="2" t="n">
        <x:f>COUNTA(Tasks!$A$6:$A$161)</x:f>
        <x:v>156</x:v>
      </x:c>
      <x:c r="C20" s="2"/>
      <x:c r="D20" s="2"/>
      <x:c r="E20" s="2"/>
      <x:c r="F20" s="2"/>
      <x:c r="G20" s="2"/>
      <x:c r="H20" s="2"/>
      <x:c r="I20" s="2"/>
    </x:row>
    <x:row r="21">
      <x:c r="A21" s="2" t="str">
        <x:v>Verified units</x:v>
      </x:c>
      <x:c r="B21" s="2" t="n">
        <x:f>COUNTIFS(Tasks!$H$6:$H$161,"Verified")</x:f>
        <x:v>0</x:v>
      </x:c>
      <x:c r="C21" s="2"/>
      <x:c r="D21" s="2"/>
      <x:c r="E21" s="2"/>
      <x:c r="F21" s="2"/>
      <x:c r="G21" s="2"/>
      <x:c r="H21" s="2"/>
      <x:c r="I21" s="2"/>
    </x:row>
    <x:row r="22">
      <x:c r="A22" s="2" t="str">
        <x:v>Demo gate</x:v>
      </x:c>
      <x:c r="B22" s="2" t="str">
        <x:f>VLOOKUP("P04.90.01",Tasks!$A$6:$H$161,8,FALSE)</x:f>
        <x:v>Dependency open</x:v>
      </x:c>
      <x:c r="C22" s="2"/>
      <x:c r="D22" s="2"/>
      <x:c r="E22" s="2"/>
      <x:c r="F22" s="2"/>
      <x:c r="G22" s="2"/>
      <x:c r="H22" s="2"/>
      <x:c r="I22" s="2"/>
    </x:row>
    <x:row r="23">
      <x:c r="A23" s="2"/>
      <x:c r="B23" s="2"/>
      <x:c r="C23" s="2"/>
      <x:c r="D23" s="2"/>
      <x:c r="E23" s="2"/>
      <x:c r="F23" s="2"/>
      <x:c r="G23" s="2"/>
      <x:c r="H23" s="2"/>
      <x:c r="I23" s="2"/>
    </x:row>
    <x:row r="24">
      <x:c r="A24" s="2"/>
      <x:c r="B24" s="2"/>
      <x:c r="C24" s="2"/>
      <x:c r="D24" s="2"/>
      <x:c r="E24" s="2"/>
      <x:c r="F24" s="2"/>
      <x:c r="G24" s="2"/>
      <x:c r="H24" s="2"/>
      <x:c r="I24" s="2"/>
    </x:row>
    <x:row r="25">
      <x:c r="A25" s="2" t="str">
        <x:v>Blueprint folder</x:v>
      </x:c>
      <x:c r="B25" s="2" t="str">
        <x:v>https://drive.google.com/drive/folders/1mhYQLzTWc1uwqF9BkkkIy44y7R6GikpC</x:v>
      </x:c>
      <x:c r="C25" s="2"/>
      <x:c r="D25" s="2"/>
      <x:c r="E25" s="2"/>
      <x:c r="F25" s="2"/>
      <x:c r="G25" s="2"/>
      <x:c r="H25" s="2"/>
      <x:c r="I25" s="2"/>
    </x:row>
    <x:row r="26">
      <x:c r="A26" s="2" t="str">
        <x:v>Control room link</x:v>
      </x:c>
      <x:c r="B26" s="2" t="str">
        <x:v>Added after document publication</x:v>
      </x:c>
      <x:c r="C26" s="2"/>
      <x:c r="D26" s="2"/>
      <x:c r="E26" s="2"/>
      <x:c r="F26" s="2"/>
      <x:c r="G26" s="2"/>
      <x:c r="H26" s="2"/>
      <x:c r="I26" s="2"/>
    </x:row>
    <x:row r="27">
      <x:c r="A27" s="2"/>
      <x:c r="B27" s="2"/>
      <x:c r="C27" s="2"/>
      <x:c r="D27" s="2"/>
      <x:c r="E27" s="2"/>
      <x:c r="F27" s="2"/>
      <x:c r="G27" s="2"/>
      <x:c r="H27" s="2"/>
      <x:c r="I27" s="2"/>
    </x:row>
    <x:row r="28">
      <x:c r="A28" s="2"/>
      <x:c r="B28" s="2"/>
      <x:c r="C28" s="2"/>
      <x:c r="D28" s="2"/>
      <x:c r="E28" s="2"/>
      <x:c r="F28" s="2"/>
      <x:c r="G28" s="2"/>
      <x:c r="H28" s="2"/>
      <x:c r="I28" s="2"/>
    </x:row>
    <x:row r="29">
      <x:c r="A29" s="2" t="str">
        <x:v>Formula verification cannot establish that evidence is truthful; accountable review remains required.</x:v>
      </x:c>
      <x:c r="B29" s="2"/>
      <x:c r="C29" s="2"/>
      <x:c r="D29" s="2"/>
      <x:c r="E29" s="2"/>
      <x:c r="F29" s="2"/>
      <x:c r="G29" s="2"/>
      <x:c r="H29" s="2"/>
      <x:c r="I29" s="2"/>
    </x:row>
    <x:row r="30">
      <x:c r="A30" s="2"/>
      <x:c r="B30" s="2"/>
      <x:c r="C30" s="2"/>
      <x:c r="D30" s="2"/>
      <x:c r="E30" s="2"/>
      <x:c r="F30" s="2"/>
      <x:c r="G30" s="2"/>
      <x:c r="H30" s="2"/>
      <x:c r="I30" s="2"/>
    </x:row>
    <x:row r="31">
      <x:c r="A31" s="2"/>
      <x:c r="B31" s="2"/>
      <x:c r="C31" s="2"/>
      <x:c r="D31" s="2"/>
      <x:c r="E31" s="2"/>
      <x:c r="F31" s="2"/>
      <x:c r="G31" s="2"/>
      <x:c r="H31" s="2"/>
      <x:c r="I31" s="2"/>
    </x:row>
    <x:row r="32">
      <x:c r="A32" s="2"/>
      <x:c r="B32" s="2"/>
      <x:c r="C32" s="2"/>
      <x:c r="D32" s="2"/>
      <x:c r="E32" s="2"/>
      <x:c r="F32" s="2"/>
      <x:c r="G32" s="2"/>
      <x:c r="H32" s="2"/>
      <x:c r="I32" s="2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1" workbookViewId="0">
      <x:pane xSplit="2" ySplit="5" topLeftCell="C6" activePane="bottomRight" state="frozen"/>
    </x:sheetView>
  </x:sheetViews>
  <x:sheetFormatPr defaultRowHeight="15"/>
  <x:cols>
    <x:col min="1" max="1" width="15.630000114440918" hidden="0" customWidth="1"/>
    <x:col min="2" max="2" width="8.130000114440918" hidden="0" customWidth="1"/>
    <x:col min="3" max="3" width="29.3799991607666" hidden="0" customWidth="1"/>
    <x:col min="4" max="4" width="43.75" hidden="0" customWidth="1"/>
    <x:col min="5" max="5" width="21.8799991607666" hidden="0" customWidth="1"/>
    <x:col min="6" max="6" width="13.75" hidden="0" customWidth="1"/>
    <x:col min="7" max="7" width="7.5" hidden="0" customWidth="1"/>
    <x:col min="8" max="8" width="18.75" hidden="0" customWidth="1"/>
    <x:col min="9" max="9" width="30" hidden="0" customWidth="1"/>
    <x:col min="10" max="10" width="18.75" hidden="0" customWidth="1"/>
    <x:col min="11" max="11" width="18.1299991607666" hidden="0" customWidth="1"/>
    <x:col min="12" max="12" width="15.630000114440918" hidden="0" customWidth="1"/>
    <x:col min="13" max="13" width="15.630000114440918" hidden="0" customWidth="1"/>
    <x:col min="14" max="14" width="15.630000114440918" hidden="0" customWidth="1"/>
    <x:col min="15" max="15" width="19.3799991607666" hidden="0" customWidth="1"/>
    <x:col min="16" max="16" width="56.25" hidden="0" customWidth="1"/>
    <x:col min="17" max="17" width="40" hidden="0" customWidth="1"/>
    <x:col min="18" max="18" width="11.880000114440918" hidden="0" customWidth="1"/>
    <x:col min="19" max="19" width="13.130000114440918" hidden="0" customWidth="1"/>
    <x:col min="20" max="20" width="22.5" hidden="0" customWidth="1"/>
    <x:col min="21" max="21" width="37.5" hidden="0" customWidth="1"/>
    <x:col min="22" max="22" width="11.25" hidden="0" customWidth="1"/>
  </x:cols>
  <x:sheetData>
    <x:row r="1" ht="26" customHeight="1">
      <x:c r="A1" s="3" t="str">
        <x:v>EcoLoop tasks — live completion and evidence</x:v>
      </x:c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  <x:c r="Q1" s="2"/>
      <x:c r="R1" s="2"/>
      <x:c r="S1" s="2"/>
      <x:c r="T1" s="2"/>
      <x:c r="U1" s="2"/>
      <x:c r="V1" s="2"/>
    </x:row>
    <x:row r="2">
      <x:c r="A2" s="2" t="str">
        <x:v>Use filters; preserve row order. Checked boxes need evidence, reviewer, date and verified prerequisites.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  <x:c r="N2" s="2"/>
      <x:c r="O2" s="2"/>
      <x:c r="P2" s="2"/>
      <x:c r="Q2" s="2"/>
      <x:c r="R2" s="2"/>
      <x:c r="S2" s="2"/>
      <x:c r="T2" s="2"/>
      <x:c r="U2" s="2"/>
      <x:c r="V2" s="2"/>
    </x:row>
    <x:row r="3">
      <x:c r="A3" s="2" t="str">
        <x:v>Initial state: proposed tasks only. Owner roles are placeholders; coding is not authorized by this documentation request.</x:v>
      </x:c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  <x:c r="M3" s="2"/>
      <x:c r="N3" s="2"/>
      <x:c r="O3" s="2"/>
      <x:c r="P3" s="2"/>
      <x:c r="Q3" s="2"/>
      <x:c r="R3" s="2"/>
      <x:c r="S3" s="2"/>
      <x:c r="T3" s="2"/>
      <x:c r="U3" s="2"/>
      <x:c r="V3" s="2"/>
    </x:row>
    <x:row r="4">
      <x:c r="A4" s="2"/>
      <x:c r="B4" s="2"/>
      <x:c r="C4" s="2"/>
      <x:c r="D4" s="2"/>
      <x:c r="E4" s="2"/>
      <x:c r="F4" s="2"/>
      <x:c r="G4" s="2"/>
      <x:c r="H4" s="2"/>
      <x:c r="I4" s="2"/>
      <x:c r="J4" s="2"/>
      <x:c r="K4" s="2"/>
      <x:c r="L4" s="2"/>
      <x:c r="M4" s="2"/>
      <x:c r="N4" s="2"/>
      <x:c r="O4" s="2"/>
      <x:c r="P4" s="2"/>
      <x:c r="Q4" s="2"/>
      <x:c r="R4" s="2"/>
      <x:c r="S4" s="2"/>
      <x:c r="T4" s="2"/>
      <x:c r="U4" s="2"/>
      <x:c r="V4" s="2"/>
    </x:row>
    <x:row r="5" ht="32" customHeight="1">
      <x:c r="A5" s="7" t="str">
        <x:v>Unit ID</x:v>
      </x:c>
      <x:c r="B5" s="7" t="str">
        <x:v>Phase</x:v>
      </x:c>
      <x:c r="C5" s="7" t="str">
        <x:v>Parent task</x:v>
      </x:c>
      <x:c r="D5" s="7" t="str">
        <x:v>Granular unit</x:v>
      </x:c>
      <x:c r="E5" s="7" t="str">
        <x:v>Owner</x:v>
      </x:c>
      <x:c r="F5" s="7" t="str">
        <x:v>Status</x:v>
      </x:c>
      <x:c r="G5" s="7" t="str">
        <x:v>Done</x:v>
      </x:c>
      <x:c r="H5" s="7" t="str">
        <x:v>Calculated result</x:v>
      </x:c>
      <x:c r="I5" s="7" t="str">
        <x:v>Evidence link</x:v>
      </x:c>
      <x:c r="J5" s="7" t="str">
        <x:v>Reviewer</x:v>
      </x:c>
      <x:c r="K5" s="7" t="str">
        <x:v>Updated (ISO)</x:v>
      </x:c>
      <x:c r="L5" s="7" t="str">
        <x:v>Prerequisite 1</x:v>
      </x:c>
      <x:c r="M5" s="7" t="str">
        <x:v>Prerequisite 2</x:v>
      </x:c>
      <x:c r="N5" s="7" t="str">
        <x:v>Prerequisite 3</x:v>
      </x:c>
      <x:c r="O5" s="7" t="str">
        <x:v>Dependency readiness</x:v>
      </x:c>
      <x:c r="P5" s="7" t="str">
        <x:v>Acceptance condition</x:v>
      </x:c>
      <x:c r="Q5" s="7" t="str">
        <x:v>Expected evidence</x:v>
      </x:c>
      <x:c r="R5" s="7" t="str">
        <x:v>Estimate hours</x:v>
      </x:c>
      <x:c r="S5" s="7" t="str">
        <x:v>Context tokens</x:v>
      </x:c>
      <x:c r="T5" s="7" t="str">
        <x:v>Requirement / journey</x:v>
      </x:c>
      <x:c r="U5" s="7" t="str">
        <x:v>Blocker / notes</x:v>
      </x:c>
      <x:c r="V5" s="7" t="str">
        <x:v>Horizon</x:v>
      </x:c>
    </x:row>
    <x:row r="6" ht="60" customHeight="1">
      <x:c r="A6" s="2" t="str">
        <x:v>P00.01.01</x:v>
      </x:c>
      <x:c r="B6" s="2" t="str">
        <x:v>P00</x:v>
      </x:c>
      <x:c r="C6" s="8" t="str">
        <x:v>P00.01 Product and evidence</x:v>
      </x:c>
      <x:c r="D6" s="8" t="str">
        <x:v>Review source inventory and conflicts</x:v>
      </x:c>
      <x:c r="E6" s="8" t="str">
        <x:v>Product owner</x:v>
      </x:c>
      <x:c r="F6" s="8" t="str">
        <x:v>Not started</x:v>
      </x:c>
      <x:c r="G6" s="4" t="b">
        <x:v>0</x:v>
      </x:c>
      <x:c r="H6" s="2" t="str">
        <x:f>IF(COUNTIFS($A$6:$A$161,A6)&lt;&gt;1,"Duplicate ID",IF(O6&lt;&gt;"Ready","Dependency open",IF(G6=TRUE,IF(AND(F6="Complete",I6&lt;&gt;"",J6&lt;&gt;"",K6&lt;&gt;""),"Verified","Evidence required"),IF(F6="Complete","Check completion",IF(F6="Blocked","Blocked",IF(F6="In progress","In progress",IF(F6="In review","In review","Open")))))))</x:f>
        <x:v>Open</x:v>
      </x:c>
      <x:c r="I6" s="2" t="str"/>
      <x:c r="J6" s="2" t="str"/>
      <x:c r="K6" s="2" t="str"/>
      <x:c r="L6" s="2" t="str"/>
      <x:c r="M6" s="2" t="str"/>
      <x:c r="N6" s="2" t="str"/>
      <x:c r="O6" s="2" t="str">
        <x:f>"Ready"</x:f>
        <x:v>Ready</x:v>
      </x:c>
      <x:c r="P6" s="8" t="str">
        <x:v>Coverage and contradiction register acknowledged; source gaps have owners</x:v>
      </x:c>
      <x:c r="Q6" s="8" t="str">
        <x:v>Research inventory + product source review</x:v>
      </x:c>
      <x:c r="R6" s="9"/>
      <x:c r="S6" s="9" t="n">
        <x:v>6000</x:v>
      </x:c>
      <x:c r="T6" s="2" t="str">
        <x:v>REQ-SCOPE-01</x:v>
      </x:c>
      <x:c r="U6" s="8" t="str">
        <x:v>Proposed work; implementation not authorized by this documentation request.</x:v>
      </x:c>
      <x:c r="V6" s="2" t="str">
        <x:v>Planning</x:v>
      </x:c>
    </x:row>
    <x:row r="7" ht="60" customHeight="1">
      <x:c r="A7" s="2" t="str">
        <x:v>P00.01.02</x:v>
      </x:c>
      <x:c r="B7" s="2" t="str">
        <x:v>P00</x:v>
      </x:c>
      <x:c r="C7" s="8" t="str">
        <x:v>P00.01 Product and evidence</x:v>
      </x:c>
      <x:c r="D7" s="8" t="str">
        <x:v>Select initial actor and decision window</x:v>
      </x:c>
      <x:c r="E7" s="8" t="str">
        <x:v>Product owner</x:v>
      </x:c>
      <x:c r="F7" s="8" t="str">
        <x:v>Not started</x:v>
      </x:c>
      <x:c r="G7" s="4" t="b">
        <x:v>0</x:v>
      </x:c>
      <x:c r="H7" s="2" t="str">
        <x:f>IF(COUNTIFS($A$6:$A$161,A7)&lt;&gt;1,"Duplicate ID",IF(O7&lt;&gt;"Ready","Dependency open",IF(G7=TRUE,IF(AND(F7="Complete",I7&lt;&gt;"",J7&lt;&gt;"",K7&lt;&gt;""),"Verified","Evidence required"),IF(F7="Complete","Check completion",IF(F7="Blocked","Blocked",IF(F7="In progress","In progress",IF(F7="In review","In review","Open")))))))</x:f>
        <x:v>Dependency open</x:v>
      </x:c>
      <x:c r="I7" s="2" t="str"/>
      <x:c r="J7" s="2" t="str"/>
      <x:c r="K7" s="2" t="str"/>
      <x:c r="L7" s="2" t="str">
        <x:v>P00.01.01</x:v>
      </x:c>
      <x:c r="M7" s="2" t="str"/>
      <x:c r="N7" s="2" t="str"/>
      <x:c r="O7" s="2" t="str">
        <x:f>IF(AND(OR(L7="",_xlfn.IFNA(VLOOKUP(L7,$A$6:$H$6,8,FALSE),"Missing")="Verified"),OR(M7="",_xlfn.IFNA(VLOOKUP(M7,$A$6:$H$6,8,FALSE),"Missing")="Verified"),OR(N7="",_xlfn.IFNA(VLOOKUP(N7,$A$6:$H$6,8,FALSE),"Missing")="Verified")),"Ready","Dependency open")</x:f>
        <x:v>Dependency open</x:v>
      </x:c>
      <x:c r="P7" s="8" t="str">
        <x:v>Named cook/buyer, authority and before-cooking trigger documented</x:v>
      </x:c>
      <x:c r="Q7" s="8" t="str">
        <x:v>Product strategy scope decision</x:v>
      </x:c>
      <x:c r="R7" s="9"/>
      <x:c r="S7" s="9" t="n">
        <x:v>6000</x:v>
      </x:c>
      <x:c r="T7" s="2" t="str">
        <x:v>REQ-SCOPE-01</x:v>
      </x:c>
      <x:c r="U7" s="8" t="str">
        <x:v>Proposed work; implementation not authorized by this documentation request.</x:v>
      </x:c>
      <x:c r="V7" s="2" t="str">
        <x:v>Planning</x:v>
      </x:c>
    </x:row>
    <x:row r="8" ht="60" customHeight="1">
      <x:c r="A8" s="2" t="str">
        <x:v>P00.01.03</x:v>
      </x:c>
      <x:c r="B8" s="2" t="str">
        <x:v>P00</x:v>
      </x:c>
      <x:c r="C8" s="8" t="str">
        <x:v>P00.01 Product and evidence</x:v>
      </x:c>
      <x:c r="D8" s="8" t="str">
        <x:v>Approve one-lane demo boundary</x:v>
      </x:c>
      <x:c r="E8" s="8" t="str">
        <x:v>Product owner</x:v>
      </x:c>
      <x:c r="F8" s="8" t="str">
        <x:v>Not started</x:v>
      </x:c>
      <x:c r="G8" s="4" t="b">
        <x:v>0</x:v>
      </x:c>
      <x:c r="H8" s="2" t="str">
        <x:f>IF(COUNTIFS($A$6:$A$161,A8)&lt;&gt;1,"Duplicate ID",IF(O8&lt;&gt;"Ready","Dependency open",IF(G8=TRUE,IF(AND(F8="Complete",I8&lt;&gt;"",J8&lt;&gt;"",K8&lt;&gt;""),"Verified","Evidence required"),IF(F8="Complete","Check completion",IF(F8="Blocked","Blocked",IF(F8="In progress","In progress",IF(F8="In review","In review","Open")))))))</x:f>
        <x:v>Dependency open</x:v>
      </x:c>
      <x:c r="I8" s="2" t="str"/>
      <x:c r="J8" s="2" t="str"/>
      <x:c r="K8" s="2" t="str"/>
      <x:c r="L8" s="2" t="str">
        <x:v>P00.01.02</x:v>
      </x:c>
      <x:c r="M8" s="2" t="str"/>
      <x:c r="N8" s="2" t="str"/>
      <x:c r="O8" s="2" t="str">
        <x:f>IF(AND(OR(L8="",_xlfn.IFNA(VLOOKUP(L8,$A$6:$H$7,8,FALSE),"Missing")="Verified"),OR(M8="",_xlfn.IFNA(VLOOKUP(M8,$A$6:$H$7,8,FALSE),"Missing")="Verified"),OR(N8="",_xlfn.IFNA(VLOOKUP(N8,$A$6:$H$7,8,FALSE),"Missing")="Verified")),"Ready","Dependency open")</x:f>
        <x:v>Dependency open</x:v>
      </x:c>
      <x:c r="P8" s="8" t="str">
        <x:v>Household path chosen or alternative documented; other lanes staged</x:v>
      </x:c>
      <x:c r="Q8" s="8" t="str">
        <x:v>Signed scope decision DEC-PLAT-001</x:v>
      </x:c>
      <x:c r="R8" s="9"/>
      <x:c r="S8" s="9" t="n">
        <x:v>6000</x:v>
      </x:c>
      <x:c r="T8" s="2" t="str">
        <x:v>REQ-SCOPE-01</x:v>
      </x:c>
      <x:c r="U8" s="8" t="str">
        <x:v>Proposed work; implementation not authorized by this documentation request.</x:v>
      </x:c>
      <x:c r="V8" s="2" t="str">
        <x:v>Planning</x:v>
      </x:c>
    </x:row>
    <x:row r="9" ht="60" customHeight="1">
      <x:c r="A9" s="2" t="str">
        <x:v>P00.01.04</x:v>
      </x:c>
      <x:c r="B9" s="2" t="str">
        <x:v>P00</x:v>
      </x:c>
      <x:c r="C9" s="8" t="str">
        <x:v>P00.01 Product and evidence</x:v>
      </x:c>
      <x:c r="D9" s="8" t="str">
        <x:v>Define success and stop conditions</x:v>
      </x:c>
      <x:c r="E9" s="8" t="str">
        <x:v>Product owner</x:v>
      </x:c>
      <x:c r="F9" s="8" t="str">
        <x:v>Not started</x:v>
      </x:c>
      <x:c r="G9" s="4" t="b">
        <x:v>0</x:v>
      </x:c>
      <x:c r="H9" s="2" t="str">
        <x:f>IF(COUNTIFS($A$6:$A$161,A9)&lt;&gt;1,"Duplicate ID",IF(O9&lt;&gt;"Ready","Dependency open",IF(G9=TRUE,IF(AND(F9="Complete",I9&lt;&gt;"",J9&lt;&gt;"",K9&lt;&gt;""),"Verified","Evidence required"),IF(F9="Complete","Check completion",IF(F9="Blocked","Blocked",IF(F9="In progress","In progress",IF(F9="In review","In review","Open")))))))</x:f>
        <x:v>Dependency open</x:v>
      </x:c>
      <x:c r="I9" s="2" t="str"/>
      <x:c r="J9" s="2" t="str"/>
      <x:c r="K9" s="2" t="str"/>
      <x:c r="L9" s="2" t="str">
        <x:v>P00.01.03</x:v>
      </x:c>
      <x:c r="M9" s="2" t="str"/>
      <x:c r="N9" s="2" t="str"/>
      <x:c r="O9" s="2" t="str">
        <x:f>IF(AND(OR(L9="",_xlfn.IFNA(VLOOKUP(L9,$A$6:$H$8,8,FALSE),"Missing")="Verified"),OR(M9="",_xlfn.IFNA(VLOOKUP(M9,$A$6:$H$8,8,FALSE),"Missing")="Verified"),OR(N9="",_xlfn.IFNA(VLOOKUP(N9,$A$6:$H$8,8,FALSE),"Missing")="Verified")),"Ready","Dependency open")</x:f>
        <x:v>Dependency open</x:v>
      </x:c>
      <x:c r="P9" s="8" t="str">
        <x:v>Decision correctness, effort and zero unsafe actions defined before trial</x:v>
      </x:c>
      <x:c r="Q9" s="8" t="str">
        <x:v>Pilot/benchmark acceptance record</x:v>
      </x:c>
      <x:c r="R9" s="9"/>
      <x:c r="S9" s="9" t="n">
        <x:v>6000</x:v>
      </x:c>
      <x:c r="T9" s="2" t="str">
        <x:v>REQ-SCOPE-01</x:v>
      </x:c>
      <x:c r="U9" s="8" t="str">
        <x:v>Proposed work; implementation not authorized by this documentation request.</x:v>
      </x:c>
      <x:c r="V9" s="2" t="str">
        <x:v>Planning</x:v>
      </x:c>
    </x:row>
    <x:row r="10" ht="60" customHeight="1">
      <x:c r="A10" s="2" t="str">
        <x:v>P00.02.01</x:v>
      </x:c>
      <x:c r="B10" s="2" t="str">
        <x:v>P00</x:v>
      </x:c>
      <x:c r="C10" s="8" t="str">
        <x:v>P00.02 Constraints and access</x:v>
      </x:c>
      <x:c r="D10" s="8" t="str">
        <x:v>Verify contest eligibility and deadline</x:v>
      </x:c>
      <x:c r="E10" s="8" t="str">
        <x:v>Technical lead</x:v>
      </x:c>
      <x:c r="F10" s="8" t="str">
        <x:v>Not started</x:v>
      </x:c>
      <x:c r="G10" s="4" t="b">
        <x:v>0</x:v>
      </x:c>
      <x:c r="H10" s="2" t="str">
        <x:f>IF(COUNTIFS($A$6:$A$161,A10)&lt;&gt;1,"Duplicate ID",IF(O10&lt;&gt;"Ready","Dependency open",IF(G10=TRUE,IF(AND(F10="Complete",I10&lt;&gt;"",J10&lt;&gt;"",K10&lt;&gt;""),"Verified","Evidence required"),IF(F10="Complete","Check completion",IF(F10="Blocked","Blocked",IF(F10="In progress","In progress",IF(F10="In review","In review","Open")))))))</x:f>
        <x:v>Open</x:v>
      </x:c>
      <x:c r="I10" s="2" t="str"/>
      <x:c r="J10" s="2" t="str"/>
      <x:c r="K10" s="2" t="str"/>
      <x:c r="L10" s="2" t="str"/>
      <x:c r="M10" s="2" t="str"/>
      <x:c r="N10" s="2" t="str"/>
      <x:c r="O10" s="2" t="str">
        <x:f>IF(AND(OR(L10="",_xlfn.IFNA(VLOOKUP(L10,$A$6:$H$9,8,FALSE),"Missing")="Verified"),OR(M10="",_xlfn.IFNA(VLOOKUP(M10,$A$6:$H$9,8,FALSE),"Missing")="Verified"),OR(N10="",_xlfn.IFNA(VLOOKUP(N10,$A$6:$H$9,8,FALSE),"Missing")="Verified")),"Ready","Dependency open")</x:f>
        <x:v>Ready</x:v>
      </x:c>
      <x:c r="P10" s="8" t="str">
        <x:v>Official terms, roster status and exact cutoff uncertainty recorded</x:v>
      </x:c>
      <x:c r="Q10" s="8" t="str">
        <x:v>Official source URLs and eligibility note</x:v>
      </x:c>
      <x:c r="R10" s="9"/>
      <x:c r="S10" s="9" t="n">
        <x:v>6000</x:v>
      </x:c>
      <x:c r="T10" s="2" t="str">
        <x:v>REQ-SCOPE-01</x:v>
      </x:c>
      <x:c r="U10" s="8" t="str">
        <x:v>Proposed work; implementation not authorized by this documentation request.</x:v>
      </x:c>
      <x:c r="V10" s="2" t="str">
        <x:v>Planning</x:v>
      </x:c>
    </x:row>
    <x:row r="11" ht="60" customHeight="1">
      <x:c r="A11" s="2" t="str">
        <x:v>P00.02.02</x:v>
      </x:c>
      <x:c r="B11" s="2" t="str">
        <x:v>P00</x:v>
      </x:c>
      <x:c r="C11" s="8" t="str">
        <x:v>P00.02 Constraints and access</x:v>
      </x:c>
      <x:c r="D11" s="8" t="str">
        <x:v>Inventory cloud and model access</x:v>
      </x:c>
      <x:c r="E11" s="8" t="str">
        <x:v>Technical lead</x:v>
      </x:c>
      <x:c r="F11" s="8" t="str">
        <x:v>Not started</x:v>
      </x:c>
      <x:c r="G11" s="4" t="b">
        <x:v>0</x:v>
      </x:c>
      <x:c r="H11" s="2" t="str">
        <x:f>IF(COUNTIFS($A$6:$A$161,A11)&lt;&gt;1,"Duplicate ID",IF(O11&lt;&gt;"Ready","Dependency open",IF(G11=TRUE,IF(AND(F11="Complete",I11&lt;&gt;"",J11&lt;&gt;"",K11&lt;&gt;""),"Verified","Evidence required"),IF(F11="Complete","Check completion",IF(F11="Blocked","Blocked",IF(F11="In progress","In progress",IF(F11="In review","In review","Open")))))))</x:f>
        <x:v>Dependency open</x:v>
      </x:c>
      <x:c r="I11" s="2" t="str"/>
      <x:c r="J11" s="2" t="str"/>
      <x:c r="K11" s="2" t="str"/>
      <x:c r="L11" s="2" t="str">
        <x:v>P00.02.01</x:v>
      </x:c>
      <x:c r="M11" s="2" t="str"/>
      <x:c r="N11" s="2" t="str"/>
      <x:c r="O11" s="2" t="str">
        <x:f>IF(AND(OR(L11="",_xlfn.IFNA(VLOOKUP(L11,$A$6:$H$10,8,FALSE),"Missing")="Verified"),OR(M11="",_xlfn.IFNA(VLOOKUP(M11,$A$6:$H$10,8,FALSE),"Missing")="Verified"),OR(N11="",_xlfn.IFNA(VLOOKUP(N11,$A$6:$H$10,8,FALSE),"Missing")="Verified")),"Ready","Dependency open")</x:f>
        <x:v>Dependency open</x:v>
      </x:c>
      <x:c r="P11" s="8" t="str">
        <x:v>IAM, billing, region, quota and supported runtime verified without exposing secrets</x:v>
      </x:c>
      <x:c r="Q11" s="8" t="str">
        <x:v>Redacted access checklist</x:v>
      </x:c>
      <x:c r="R11" s="9"/>
      <x:c r="S11" s="9" t="n">
        <x:v>6000</x:v>
      </x:c>
      <x:c r="T11" s="2" t="str">
        <x:v>REQ-SCOPE-01</x:v>
      </x:c>
      <x:c r="U11" s="8" t="str">
        <x:v>Proposed work; implementation not authorized by this documentation request.</x:v>
      </x:c>
      <x:c r="V11" s="2" t="str">
        <x:v>Planning</x:v>
      </x:c>
    </x:row>
    <x:row r="12" ht="60" customHeight="1">
      <x:c r="A12" s="2" t="str">
        <x:v>P00.02.03</x:v>
      </x:c>
      <x:c r="B12" s="2" t="str">
        <x:v>P00</x:v>
      </x:c>
      <x:c r="C12" s="8" t="str">
        <x:v>P00.02 Constraints and access</x:v>
      </x:c>
      <x:c r="D12" s="8" t="str">
        <x:v>Review food policy and measurement assumptions</x:v>
      </x:c>
      <x:c r="E12" s="8" t="str">
        <x:v>Technical lead</x:v>
      </x:c>
      <x:c r="F12" s="8" t="str">
        <x:v>Not started</x:v>
      </x:c>
      <x:c r="G12" s="4" t="b">
        <x:v>0</x:v>
      </x:c>
      <x:c r="H12" s="2" t="str">
        <x:f>IF(COUNTIFS($A$6:$A$161,A12)&lt;&gt;1,"Duplicate ID",IF(O12&lt;&gt;"Ready","Dependency open",IF(G12=TRUE,IF(AND(F12="Complete",I12&lt;&gt;"",J12&lt;&gt;"",K12&lt;&gt;""),"Verified","Evidence required"),IF(F12="Complete","Check completion",IF(F12="Blocked","Blocked",IF(F12="In progress","In progress",IF(F12="In review","In review","Open")))))))</x:f>
        <x:v>Dependency open</x:v>
      </x:c>
      <x:c r="I12" s="2" t="str"/>
      <x:c r="J12" s="2" t="str"/>
      <x:c r="K12" s="2" t="str"/>
      <x:c r="L12" s="2" t="str">
        <x:v>P00.02.02</x:v>
      </x:c>
      <x:c r="M12" s="2" t="str"/>
      <x:c r="N12" s="2" t="str"/>
      <x:c r="O12" s="2" t="str">
        <x:f>IF(AND(OR(L12="",_xlfn.IFNA(VLOOKUP(L12,$A$6:$H$11,8,FALSE),"Missing")="Verified"),OR(M12="",_xlfn.IFNA(VLOOKUP(M12,$A$6:$H$11,8,FALSE),"Missing")="Verified"),OR(N12="",_xlfn.IFNA(VLOOKUP(N12,$A$6:$H$11,8,FALSE),"Missing")="Verified")),"Ready","Dependency open")</x:f>
        <x:v>Dependency open</x:v>
      </x:c>
      <x:c r="P12" s="8" t="str">
        <x:v>Unsupported universal thresholds/cutoffs rejected; reviewer named</x:v>
      </x:c>
      <x:c r="Q12" s="8" t="str">
        <x:v>Policy discrepancy register</x:v>
      </x:c>
      <x:c r="R12" s="9"/>
      <x:c r="S12" s="9" t="n">
        <x:v>6000</x:v>
      </x:c>
      <x:c r="T12" s="2" t="str">
        <x:v>REQ-SCOPE-01</x:v>
      </x:c>
      <x:c r="U12" s="8" t="str">
        <x:v>Proposed work; implementation not authorized by this documentation request.</x:v>
      </x:c>
      <x:c r="V12" s="2" t="str">
        <x:v>Planning</x:v>
      </x:c>
    </x:row>
    <x:row r="13" ht="60" customHeight="1">
      <x:c r="A13" s="2" t="str">
        <x:v>P00.02.04</x:v>
      </x:c>
      <x:c r="B13" s="2" t="str">
        <x:v>P00</x:v>
      </x:c>
      <x:c r="C13" s="8" t="str">
        <x:v>P00.02 Constraints and access</x:v>
      </x:c>
      <x:c r="D13" s="8" t="str">
        <x:v>Approve privacy and partner boundaries</x:v>
      </x:c>
      <x:c r="E13" s="8" t="str">
        <x:v>Technical lead</x:v>
      </x:c>
      <x:c r="F13" s="8" t="str">
        <x:v>Not started</x:v>
      </x:c>
      <x:c r="G13" s="4" t="b">
        <x:v>0</x:v>
      </x:c>
      <x:c r="H13" s="2" t="str">
        <x:f>IF(COUNTIFS($A$6:$A$161,A13)&lt;&gt;1,"Duplicate ID",IF(O13&lt;&gt;"Ready","Dependency open",IF(G13=TRUE,IF(AND(F13="Complete",I13&lt;&gt;"",J13&lt;&gt;"",K13&lt;&gt;""),"Verified","Evidence required"),IF(F13="Complete","Check completion",IF(F13="Blocked","Blocked",IF(F13="In progress","In progress",IF(F13="In review","In review","Open")))))))</x:f>
        <x:v>Dependency open</x:v>
      </x:c>
      <x:c r="I13" s="2" t="str"/>
      <x:c r="J13" s="2" t="str"/>
      <x:c r="K13" s="2" t="str"/>
      <x:c r="L13" s="2" t="str">
        <x:v>P00.02.03</x:v>
      </x:c>
      <x:c r="M13" s="2" t="str"/>
      <x:c r="N13" s="2" t="str"/>
      <x:c r="O13" s="2" t="str">
        <x:f>IF(AND(OR(L13="",_xlfn.IFNA(VLOOKUP(L13,$A$6:$H$12,8,FALSE),"Missing")="Verified"),OR(M13="",_xlfn.IFNA(VLOOKUP(M13,$A$6:$H$12,8,FALSE),"Missing")="Verified"),OR(N13="",_xlfn.IFNA(VLOOKUP(N13,$A$6:$H$12,8,FALSE),"Missing")="Verified")),"Ready","Dependency open")</x:f>
        <x:v>Dependency open</x:v>
      </x:c>
      <x:c r="P13" s="8" t="str">
        <x:v>Consent, public-repo data exclusion and simulated-only adapters specified</x:v>
      </x:c>
      <x:c r="Q13" s="8" t="str">
        <x:v>Privacy/partner decision record</x:v>
      </x:c>
      <x:c r="R13" s="9"/>
      <x:c r="S13" s="9" t="n">
        <x:v>6000</x:v>
      </x:c>
      <x:c r="T13" s="2" t="str">
        <x:v>REQ-SCOPE-01</x:v>
      </x:c>
      <x:c r="U13" s="8" t="str">
        <x:v>Proposed work; implementation not authorized by this documentation request.</x:v>
      </x:c>
      <x:c r="V13" s="2" t="str">
        <x:v>Planning</x:v>
      </x:c>
    </x:row>
    <x:row r="14" ht="60" customHeight="1">
      <x:c r="A14" s="2" t="str">
        <x:v>P00.03.01</x:v>
      </x:c>
      <x:c r="B14" s="2" t="str">
        <x:v>P00</x:v>
      </x:c>
      <x:c r="C14" s="8" t="str">
        <x:v>P00.03 Execution setup</x:v>
      </x:c>
      <x:c r="D14" s="8" t="str">
        <x:v>Review HLD and LLD against scope</x:v>
      </x:c>
      <x:c r="E14" s="8" t="str">
        <x:v>Technical lead</x:v>
      </x:c>
      <x:c r="F14" s="8" t="str">
        <x:v>Not started</x:v>
      </x:c>
      <x:c r="G14" s="4" t="b">
        <x:v>0</x:v>
      </x:c>
      <x:c r="H14" s="2" t="str">
        <x:f>IF(COUNTIFS($A$6:$A$161,A14)&lt;&gt;1,"Duplicate ID",IF(O14&lt;&gt;"Ready","Dependency open",IF(G14=TRUE,IF(AND(F14="Complete",I14&lt;&gt;"",J14&lt;&gt;"",K14&lt;&gt;""),"Verified","Evidence required"),IF(F14="Complete","Check completion",IF(F14="Blocked","Blocked",IF(F14="In progress","In progress",IF(F14="In review","In review","Open")))))))</x:f>
        <x:v>Open</x:v>
      </x:c>
      <x:c r="I14" s="2" t="str"/>
      <x:c r="J14" s="2" t="str"/>
      <x:c r="K14" s="2" t="str"/>
      <x:c r="L14" s="2" t="str"/>
      <x:c r="M14" s="2" t="str"/>
      <x:c r="N14" s="2" t="str"/>
      <x:c r="O14" s="2" t="str">
        <x:f>IF(AND(OR(L14="",_xlfn.IFNA(VLOOKUP(L14,$A$6:$H$13,8,FALSE),"Missing")="Verified"),OR(M14="",_xlfn.IFNA(VLOOKUP(M14,$A$6:$H$13,8,FALSE),"Missing")="Verified"),OR(N14="",_xlfn.IFNA(VLOOKUP(N14,$A$6:$H$13,8,FALSE),"Missing")="Verified")),"Ready","Dependency open")</x:f>
        <x:v>Ready</x:v>
      </x:c>
      <x:c r="P14" s="8" t="str">
        <x:v>Auth, versions, approvals, idempotency and failure contracts agreed</x:v>
      </x:c>
      <x:c r="Q14" s="8" t="str">
        <x:v>Technical design review</x:v>
      </x:c>
      <x:c r="R14" s="9"/>
      <x:c r="S14" s="9" t="n">
        <x:v>6000</x:v>
      </x:c>
      <x:c r="T14" s="2" t="str">
        <x:v>REQ-SCOPE-01</x:v>
      </x:c>
      <x:c r="U14" s="8" t="str">
        <x:v>Proposed work; implementation not authorized by this documentation request.</x:v>
      </x:c>
      <x:c r="V14" s="2" t="str">
        <x:v>Planning</x:v>
      </x:c>
    </x:row>
    <x:row r="15" ht="60" customHeight="1">
      <x:c r="A15" s="2" t="str">
        <x:v>P00.03.02</x:v>
      </x:c>
      <x:c r="B15" s="2" t="str">
        <x:v>P00</x:v>
      </x:c>
      <x:c r="C15" s="8" t="str">
        <x:v>P00.03 Execution setup</x:v>
      </x:c>
      <x:c r="D15" s="8" t="str">
        <x:v>Assign owners and estimates</x:v>
      </x:c>
      <x:c r="E15" s="8" t="str">
        <x:v>Technical lead</x:v>
      </x:c>
      <x:c r="F15" s="8" t="str">
        <x:v>Not started</x:v>
      </x:c>
      <x:c r="G15" s="4" t="b">
        <x:v>0</x:v>
      </x:c>
      <x:c r="H15" s="2" t="str">
        <x:f>IF(COUNTIFS($A$6:$A$161,A15)&lt;&gt;1,"Duplicate ID",IF(O15&lt;&gt;"Ready","Dependency open",IF(G15=TRUE,IF(AND(F15="Complete",I15&lt;&gt;"",J15&lt;&gt;"",K15&lt;&gt;""),"Verified","Evidence required"),IF(F15="Complete","Check completion",IF(F15="Blocked","Blocked",IF(F15="In progress","In progress",IF(F15="In review","In review","Open")))))))</x:f>
        <x:v>Dependency open</x:v>
      </x:c>
      <x:c r="I15" s="2" t="str"/>
      <x:c r="J15" s="2" t="str"/>
      <x:c r="K15" s="2" t="str"/>
      <x:c r="L15" s="2" t="str">
        <x:v>P00.03.01</x:v>
      </x:c>
      <x:c r="M15" s="2" t="str"/>
      <x:c r="N15" s="2" t="str"/>
      <x:c r="O15" s="2" t="str">
        <x:f>IF(AND(OR(L15="",_xlfn.IFNA(VLOOKUP(L15,$A$6:$H$14,8,FALSE),"Missing")="Verified"),OR(M15="",_xlfn.IFNA(VLOOKUP(M15,$A$6:$H$14,8,FALSE),"Missing")="Verified"),OR(N15="",_xlfn.IFNA(VLOOKUP(N15,$A$6:$H$14,8,FALSE),"Missing")="Verified")),"Ready","Dependency open")</x:f>
        <x:v>Dependency open</x:v>
      </x:c>
      <x:c r="P15" s="8" t="str">
        <x:v>Named owner, reviewer and effort for first executable work packet</x:v>
      </x:c>
      <x:c r="Q15" s="8" t="str">
        <x:v>Updated tracker rows</x:v>
      </x:c>
      <x:c r="R15" s="9"/>
      <x:c r="S15" s="9" t="n">
        <x:v>6000</x:v>
      </x:c>
      <x:c r="T15" s="2" t="str">
        <x:v>REQ-SCOPE-01</x:v>
      </x:c>
      <x:c r="U15" s="8" t="str">
        <x:v>Proposed work; implementation not authorized by this documentation request.</x:v>
      </x:c>
      <x:c r="V15" s="2" t="str">
        <x:v>Planning</x:v>
      </x:c>
    </x:row>
    <x:row r="16" ht="60" customHeight="1">
      <x:c r="A16" s="2" t="str">
        <x:v>P00.03.03</x:v>
      </x:c>
      <x:c r="B16" s="2" t="str">
        <x:v>P00</x:v>
      </x:c>
      <x:c r="C16" s="8" t="str">
        <x:v>P00.03 Execution setup</x:v>
      </x:c>
      <x:c r="D16" s="8" t="str">
        <x:v>Exercise harness status and recovery</x:v>
      </x:c>
      <x:c r="E16" s="8" t="str">
        <x:v>Technical lead</x:v>
      </x:c>
      <x:c r="F16" s="8" t="str">
        <x:v>Not started</x:v>
      </x:c>
      <x:c r="G16" s="4" t="b">
        <x:v>0</x:v>
      </x:c>
      <x:c r="H16" s="2" t="str">
        <x:f>IF(COUNTIFS($A$6:$A$161,A16)&lt;&gt;1,"Duplicate ID",IF(O16&lt;&gt;"Ready","Dependency open",IF(G16=TRUE,IF(AND(F16="Complete",I16&lt;&gt;"",J16&lt;&gt;"",K16&lt;&gt;""),"Verified","Evidence required"),IF(F16="Complete","Check completion",IF(F16="Blocked","Blocked",IF(F16="In progress","In progress",IF(F16="In review","In review","Open")))))))</x:f>
        <x:v>Dependency open</x:v>
      </x:c>
      <x:c r="I16" s="2" t="str"/>
      <x:c r="J16" s="2" t="str"/>
      <x:c r="K16" s="2" t="str"/>
      <x:c r="L16" s="2" t="str">
        <x:v>P00.03.02</x:v>
      </x:c>
      <x:c r="M16" s="2" t="str"/>
      <x:c r="N16" s="2" t="str"/>
      <x:c r="O16" s="2" t="str">
        <x:f>IF(AND(OR(L16="",_xlfn.IFNA(VLOOKUP(L16,$A$6:$H$15,8,FALSE),"Missing")="Verified"),OR(M16="",_xlfn.IFNA(VLOOKUP(M16,$A$6:$H$15,8,FALSE),"Missing")="Verified"),OR(N16="",_xlfn.IFNA(VLOOKUP(N16,$A$6:$H$15,8,FALSE),"Missing")="Verified")),"Ready","Dependency open")</x:f>
        <x:v>Dependency open</x:v>
      </x:c>
      <x:c r="P16" s="8" t="str">
        <x:v>Checkbox alone cannot verify; dependencies and evidence gates recalculate</x:v>
      </x:c>
      <x:c r="Q16" s="8" t="str">
        <x:v>Harness verification record</x:v>
      </x:c>
      <x:c r="R16" s="9"/>
      <x:c r="S16" s="9" t="n">
        <x:v>6000</x:v>
      </x:c>
      <x:c r="T16" s="2" t="str">
        <x:v>REQ-SCOPE-01</x:v>
      </x:c>
      <x:c r="U16" s="8" t="str">
        <x:v>Proposed work; implementation not authorized by this documentation request.</x:v>
      </x:c>
      <x:c r="V16" s="2" t="str">
        <x:v>Planning</x:v>
      </x:c>
    </x:row>
    <x:row r="17" ht="60" customHeight="1">
      <x:c r="A17" s="2" t="str">
        <x:v>P00.03.04</x:v>
      </x:c>
      <x:c r="B17" s="2" t="str">
        <x:v>P00</x:v>
      </x:c>
      <x:c r="C17" s="8" t="str">
        <x:v>P00.03 Execution setup</x:v>
      </x:c>
      <x:c r="D17" s="8" t="str">
        <x:v>Authorize implementation phase</x:v>
      </x:c>
      <x:c r="E17" s="8" t="str">
        <x:v>Technical lead</x:v>
      </x:c>
      <x:c r="F17" s="8" t="str">
        <x:v>Not started</x:v>
      </x:c>
      <x:c r="G17" s="4" t="b">
        <x:v>0</x:v>
      </x:c>
      <x:c r="H17" s="2" t="str">
        <x:f>IF(COUNTIFS($A$6:$A$161,A17)&lt;&gt;1,"Duplicate ID",IF(O17&lt;&gt;"Ready","Dependency open",IF(G17=TRUE,IF(AND(F17="Complete",I17&lt;&gt;"",J17&lt;&gt;"",K17&lt;&gt;""),"Verified","Evidence required"),IF(F17="Complete","Check completion",IF(F17="Blocked","Blocked",IF(F17="In progress","In progress",IF(F17="In review","In review","Open")))))))</x:f>
        <x:v>Dependency open</x:v>
      </x:c>
      <x:c r="I17" s="2" t="str"/>
      <x:c r="J17" s="2" t="str"/>
      <x:c r="K17" s="2" t="str"/>
      <x:c r="L17" s="2" t="str">
        <x:v>P00.03.03</x:v>
      </x:c>
      <x:c r="M17" s="2" t="str"/>
      <x:c r="N17" s="2" t="str"/>
      <x:c r="O17" s="2" t="str">
        <x:f>IF(AND(OR(L17="",_xlfn.IFNA(VLOOKUP(L17,$A$6:$H$16,8,FALSE),"Missing")="Verified"),OR(M17="",_xlfn.IFNA(VLOOKUP(M17,$A$6:$H$16,8,FALSE),"Missing")="Verified"),OR(N17="",_xlfn.IFNA(VLOOKUP(N17,$A$6:$H$16,8,FALSE),"Missing")="Verified")),"Ready","Dependency open")</x:f>
        <x:v>Dependency open</x:v>
      </x:c>
      <x:c r="P17" s="8" t="str">
        <x:v>Human authorizes coding scope; document-only restriction explicitly lifted</x:v>
      </x:c>
      <x:c r="Q17" s="8" t="str">
        <x:v>Authorization record</x:v>
      </x:c>
      <x:c r="R17" s="9"/>
      <x:c r="S17" s="9" t="n">
        <x:v>6000</x:v>
      </x:c>
      <x:c r="T17" s="2" t="str">
        <x:v>REQ-SCOPE-01</x:v>
      </x:c>
      <x:c r="U17" s="8" t="str">
        <x:v>Proposed work; implementation not authorized by this documentation request.</x:v>
      </x:c>
      <x:c r="V17" s="2" t="str">
        <x:v>Planning</x:v>
      </x:c>
    </x:row>
    <x:row r="18" ht="60" customHeight="1">
      <x:c r="A18" s="2" t="str">
        <x:v>P00.90.01</x:v>
      </x:c>
      <x:c r="B18" s="2" t="str">
        <x:v>P00</x:v>
      </x:c>
      <x:c r="C18" s="8" t="str">
        <x:v>P00.90 Phase gate</x:v>
      </x:c>
      <x:c r="D18" s="8" t="str">
        <x:v>Review and accept planning and scope approval</x:v>
      </x:c>
      <x:c r="E18" s="8" t="str">
        <x:v>Product owner + independent reviewer</x:v>
      </x:c>
      <x:c r="F18" s="8" t="str">
        <x:v>Not started</x:v>
      </x:c>
      <x:c r="G18" s="4" t="b">
        <x:v>0</x:v>
      </x:c>
      <x:c r="H18" s="2" t="str">
        <x:f>IF(COUNTIFS($A$6:$A$161,A18)&lt;&gt;1,"Duplicate ID",IF(O18&lt;&gt;"Ready","Dependency open",IF(G18=TRUE,IF(AND(F18="Complete",I18&lt;&gt;"",J18&lt;&gt;"",K18&lt;&gt;""),"Verified","Evidence required"),IF(F18="Complete","Check completion",IF(F18="Blocked","Blocked",IF(F18="In progress","In progress",IF(F18="In review","In review","Open")))))))</x:f>
        <x:v>Dependency open</x:v>
      </x:c>
      <x:c r="I18" s="2" t="str"/>
      <x:c r="J18" s="2" t="str"/>
      <x:c r="K18" s="2" t="str"/>
      <x:c r="L18" s="2" t="str">
        <x:v>P00.01.04</x:v>
      </x:c>
      <x:c r="M18" s="2" t="str">
        <x:v>P00.02.04</x:v>
      </x:c>
      <x:c r="N18" s="2" t="str">
        <x:v>P00.03.04</x:v>
      </x:c>
      <x:c r="O18" s="2" t="str">
        <x:f>IF(AND(OR(L18="",_xlfn.IFNA(VLOOKUP(L18,$A$6:$H$17,8,FALSE),"Missing")="Verified"),OR(M18="",_xlfn.IFNA(VLOOKUP(M18,$A$6:$H$17,8,FALSE),"Missing")="Verified"),OR(N18="",_xlfn.IFNA(VLOOKUP(N18,$A$6:$H$17,8,FALSE),"Missing")="Verified")),"Ready","Dependency open")</x:f>
        <x:v>Dependency open</x:v>
      </x:c>
      <x:c r="P18" s="8" t="str">
        <x:v>All prerequisites verified; critical risks closed or explicitly rejected for rollout; human records go/revise/stop decision.</x:v>
      </x:c>
      <x:c r="Q18" s="8" t="str">
        <x:v>Phase gate record with reviewer, evidence links, residual risks and next scope</x:v>
      </x:c>
      <x:c r="R18" s="9"/>
      <x:c r="S18" s="9" t="n">
        <x:v>4000</x:v>
      </x:c>
      <x:c r="T18" s="2" t="str">
        <x:v>P00-GATE</x:v>
      </x:c>
      <x:c r="U18" s="8" t="str">
        <x:v>Unchecked until phase evidence is reviewed. A written plan is not implementation evidence.</x:v>
      </x:c>
      <x:c r="V18" s="2" t="str">
        <x:v>Planning</x:v>
      </x:c>
    </x:row>
    <x:row r="19" ht="60" customHeight="1">
      <x:c r="A19" s="2" t="str">
        <x:v>P01.01.01</x:v>
      </x:c>
      <x:c r="B19" s="2" t="str">
        <x:v>P01</x:v>
      </x:c>
      <x:c r="C19" s="8" t="str">
        <x:v>P01.01 Identity and permissions</x:v>
      </x:c>
      <x:c r="D19" s="8" t="str">
        <x:v>Define membership and permission matrix</x:v>
      </x:c>
      <x:c r="E19" s="8" t="str">
        <x:v>Backend engineer</x:v>
      </x:c>
      <x:c r="F19" s="8" t="str">
        <x:v>Not started</x:v>
      </x:c>
      <x:c r="G19" s="4" t="b">
        <x:v>0</x:v>
      </x:c>
      <x:c r="H19" s="2" t="str">
        <x:f>IF(COUNTIFS($A$6:$A$161,A19)&lt;&gt;1,"Duplicate ID",IF(O19&lt;&gt;"Ready","Dependency open",IF(G19=TRUE,IF(AND(F19="Complete",I19&lt;&gt;"",J19&lt;&gt;"",K19&lt;&gt;""),"Verified","Evidence required"),IF(F19="Complete","Check completion",IF(F19="Blocked","Blocked",IF(F19="In progress","In progress",IF(F19="In review","In review","Open")))))))</x:f>
        <x:v>Dependency open</x:v>
      </x:c>
      <x:c r="I19" s="2" t="str"/>
      <x:c r="J19" s="2" t="str"/>
      <x:c r="K19" s="2" t="str"/>
      <x:c r="L19" s="2" t="str">
        <x:v>P00.90.01</x:v>
      </x:c>
      <x:c r="M19" s="2" t="str"/>
      <x:c r="N19" s="2" t="str"/>
      <x:c r="O19" s="2" t="str">
        <x:f>IF(AND(OR(L19="",_xlfn.IFNA(VLOOKUP(L19,$A$6:$H$18,8,FALSE),"Missing")="Verified"),OR(M19="",_xlfn.IFNA(VLOOKUP(M19,$A$6:$H$18,8,FALSE),"Missing")="Verified"),OR(N19="",_xlfn.IFNA(VLOOKUP(N19,$A$6:$H$18,8,FALSE),"Missing")="Verified")),"Ready","Dependency open")</x:f>
        <x:v>Dependency open</x:v>
      </x:c>
      <x:c r="P19" s="8" t="str">
        <x:v>Each protected operation maps actor, tenant and permission</x:v>
      </x:c>
      <x:c r="Q19" s="8" t="str">
        <x:v>Auth contract REQ-AUTH-01</x:v>
      </x:c>
      <x:c r="R19" s="9"/>
      <x:c r="S19" s="9" t="n">
        <x:v>6000</x:v>
      </x:c>
      <x:c r="T19" s="2" t="str">
        <x:v>REQ-AUTH-01 / REQ-FACT-01</x:v>
      </x:c>
      <x:c r="U19" s="8" t="str">
        <x:v>Proposed work; implementation not authorized by this documentation request.</x:v>
      </x:c>
      <x:c r="V19" s="2" t="str">
        <x:v>Demo</x:v>
      </x:c>
    </x:row>
    <x:row r="20" ht="60" customHeight="1">
      <x:c r="A20" s="2" t="str">
        <x:v>P01.01.02</x:v>
      </x:c>
      <x:c r="B20" s="2" t="str">
        <x:v>P01</x:v>
      </x:c>
      <x:c r="C20" s="8" t="str">
        <x:v>P01.01 Identity and permissions</x:v>
      </x:c>
      <x:c r="D20" s="8" t="str">
        <x:v>Implement verified identity boundary</x:v>
      </x:c>
      <x:c r="E20" s="8" t="str">
        <x:v>Backend engineer</x:v>
      </x:c>
      <x:c r="F20" s="8" t="str">
        <x:v>Not started</x:v>
      </x:c>
      <x:c r="G20" s="4" t="b">
        <x:v>0</x:v>
      </x:c>
      <x:c r="H20" s="2" t="str">
        <x:f>IF(COUNTIFS($A$6:$A$161,A20)&lt;&gt;1,"Duplicate ID",IF(O20&lt;&gt;"Ready","Dependency open",IF(G20=TRUE,IF(AND(F20="Complete",I20&lt;&gt;"",J20&lt;&gt;"",K20&lt;&gt;""),"Verified","Evidence required"),IF(F20="Complete","Check completion",IF(F20="Blocked","Blocked",IF(F20="In progress","In progress",IF(F20="In review","In review","Open")))))))</x:f>
        <x:v>Dependency open</x:v>
      </x:c>
      <x:c r="I20" s="2" t="str"/>
      <x:c r="J20" s="2" t="str"/>
      <x:c r="K20" s="2" t="str"/>
      <x:c r="L20" s="2" t="str">
        <x:v>P01.01.01</x:v>
      </x:c>
      <x:c r="M20" s="2" t="str"/>
      <x:c r="N20" s="2" t="str"/>
      <x:c r="O20" s="2" t="str">
        <x:f>IF(AND(OR(L20="",_xlfn.IFNA(VLOOKUP(L20,$A$6:$H$19,8,FALSE),"Missing")="Verified"),OR(M20="",_xlfn.IFNA(VLOOKUP(M20,$A$6:$H$19,8,FALSE),"Missing")="Verified"),OR(N20="",_xlfn.IFNA(VLOOKUP(N20,$A$6:$H$19,8,FALSE),"Missing")="Verified")),"Ready","Dependency open")</x:f>
        <x:v>Dependency open</x:v>
      </x:c>
      <x:c r="P20" s="8" t="str">
        <x:v>Missing/invalid token rejected; tenant never defaults</x:v>
      </x:c>
      <x:c r="Q20" s="8" t="str">
        <x:v>Auth check evidence</x:v>
      </x:c>
      <x:c r="R20" s="9"/>
      <x:c r="S20" s="9" t="n">
        <x:v>6000</x:v>
      </x:c>
      <x:c r="T20" s="2" t="str">
        <x:v>REQ-AUTH-01 / REQ-FACT-01</x:v>
      </x:c>
      <x:c r="U20" s="8" t="str">
        <x:v>Proposed work; implementation not authorized by this documentation request.</x:v>
      </x:c>
      <x:c r="V20" s="2" t="str">
        <x:v>Demo</x:v>
      </x:c>
    </x:row>
    <x:row r="21" ht="60" customHeight="1">
      <x:c r="A21" s="2" t="str">
        <x:v>P01.01.03</x:v>
      </x:c>
      <x:c r="B21" s="2" t="str">
        <x:v>P01</x:v>
      </x:c>
      <x:c r="C21" s="8" t="str">
        <x:v>P01.01 Identity and permissions</x:v>
      </x:c>
      <x:c r="D21" s="8" t="str">
        <x:v>Implement current membership and revocation checks</x:v>
      </x:c>
      <x:c r="E21" s="8" t="str">
        <x:v>Backend engineer</x:v>
      </x:c>
      <x:c r="F21" s="8" t="str">
        <x:v>Not started</x:v>
      </x:c>
      <x:c r="G21" s="4" t="b">
        <x:v>0</x:v>
      </x:c>
      <x:c r="H21" s="2" t="str">
        <x:f>IF(COUNTIFS($A$6:$A$161,A21)&lt;&gt;1,"Duplicate ID",IF(O21&lt;&gt;"Ready","Dependency open",IF(G21=TRUE,IF(AND(F21="Complete",I21&lt;&gt;"",J21&lt;&gt;"",K21&lt;&gt;""),"Verified","Evidence required"),IF(F21="Complete","Check completion",IF(F21="Blocked","Blocked",IF(F21="In progress","In progress",IF(F21="In review","In review","Open")))))))</x:f>
        <x:v>Dependency open</x:v>
      </x:c>
      <x:c r="I21" s="2" t="str"/>
      <x:c r="J21" s="2" t="str"/>
      <x:c r="K21" s="2" t="str"/>
      <x:c r="L21" s="2" t="str">
        <x:v>P01.01.02</x:v>
      </x:c>
      <x:c r="M21" s="2" t="str"/>
      <x:c r="N21" s="2" t="str"/>
      <x:c r="O21" s="2" t="str">
        <x:f>IF(AND(OR(L21="",_xlfn.IFNA(VLOOKUP(L21,$A$6:$H$20,8,FALSE),"Missing")="Verified"),OR(M21="",_xlfn.IFNA(VLOOKUP(M21,$A$6:$H$20,8,FALSE),"Missing")="Verified"),OR(N21="",_xlfn.IFNA(VLOOKUP(N21,$A$6:$H$20,8,FALSE),"Missing")="Verified")),"Ready","Dependency open")</x:f>
        <x:v>Dependency open</x:v>
      </x:c>
      <x:c r="P21" s="8" t="str">
        <x:v>Revoked membership fails even with a still-valid token</x:v>
      </x:c>
      <x:c r="Q21" s="8" t="str">
        <x:v>Revocation and wrong-tenant evidence</x:v>
      </x:c>
      <x:c r="R21" s="9"/>
      <x:c r="S21" s="9" t="n">
        <x:v>6000</x:v>
      </x:c>
      <x:c r="T21" s="2" t="str">
        <x:v>REQ-AUTH-01 / REQ-FACT-01</x:v>
      </x:c>
      <x:c r="U21" s="8" t="str">
        <x:v>Proposed work; implementation not authorized by this documentation request.</x:v>
      </x:c>
      <x:c r="V21" s="2" t="str">
        <x:v>Demo</x:v>
      </x:c>
    </x:row>
    <x:row r="22" ht="60" customHeight="1">
      <x:c r="A22" s="2" t="str">
        <x:v>P01.01.04</x:v>
      </x:c>
      <x:c r="B22" s="2" t="str">
        <x:v>P01</x:v>
      </x:c>
      <x:c r="C22" s="8" t="str">
        <x:v>P01.01 Identity and permissions</x:v>
      </x:c>
      <x:c r="D22" s="8" t="str">
        <x:v>Prove denial across roles and tenants</x:v>
      </x:c>
      <x:c r="E22" s="8" t="str">
        <x:v>Backend engineer</x:v>
      </x:c>
      <x:c r="F22" s="8" t="str">
        <x:v>Not started</x:v>
      </x:c>
      <x:c r="G22" s="4" t="b">
        <x:v>0</x:v>
      </x:c>
      <x:c r="H22" s="2" t="str">
        <x:f>IF(COUNTIFS($A$6:$A$161,A22)&lt;&gt;1,"Duplicate ID",IF(O22&lt;&gt;"Ready","Dependency open",IF(G22=TRUE,IF(AND(F22="Complete",I22&lt;&gt;"",J22&lt;&gt;"",K22&lt;&gt;""),"Verified","Evidence required"),IF(F22="Complete","Check completion",IF(F22="Blocked","Blocked",IF(F22="In progress","In progress",IF(F22="In review","In review","Open")))))))</x:f>
        <x:v>Dependency open</x:v>
      </x:c>
      <x:c r="I22" s="2" t="str"/>
      <x:c r="J22" s="2" t="str"/>
      <x:c r="K22" s="2" t="str"/>
      <x:c r="L22" s="2" t="str">
        <x:v>P01.01.03</x:v>
      </x:c>
      <x:c r="M22" s="2" t="str"/>
      <x:c r="N22" s="2" t="str"/>
      <x:c r="O22" s="2" t="str">
        <x:f>IF(AND(OR(L22="",_xlfn.IFNA(VLOOKUP(L22,$A$6:$H$21,8,FALSE),"Missing")="Verified"),OR(M22="",_xlfn.IFNA(VLOOKUP(M22,$A$6:$H$21,8,FALSE),"Missing")="Verified"),OR(N22="",_xlfn.IFNA(VLOOKUP(N22,$A$6:$H$21,8,FALSE),"Missing")="Verified")),"Ready","Dependency open")</x:f>
        <x:v>Dependency open</x:v>
      </x:c>
      <x:c r="P22" s="8" t="str">
        <x:v>Read/write isolation and guessed IDs tested</x:v>
      </x:c>
      <x:c r="Q22" s="8" t="str">
        <x:v>Negative authorization matrix</x:v>
      </x:c>
      <x:c r="R22" s="9"/>
      <x:c r="S22" s="9" t="n">
        <x:v>6000</x:v>
      </x:c>
      <x:c r="T22" s="2" t="str">
        <x:v>REQ-AUTH-01 / REQ-FACT-01</x:v>
      </x:c>
      <x:c r="U22" s="8" t="str">
        <x:v>Proposed work; implementation not authorized by this documentation request.</x:v>
      </x:c>
      <x:c r="V22" s="2" t="str">
        <x:v>Demo</x:v>
      </x:c>
    </x:row>
    <x:row r="23" ht="60" customHeight="1">
      <x:c r="A23" s="2" t="str">
        <x:v>P01.02.01</x:v>
      </x:c>
      <x:c r="B23" s="2" t="str">
        <x:v>P01</x:v>
      </x:c>
      <x:c r="C23" s="8" t="str">
        <x:v>P01.02 Canonical records</x:v>
      </x:c>
      <x:c r="D23" s="8" t="str">
        <x:v>Define typed records and units</x:v>
      </x:c>
      <x:c r="E23" s="8" t="str">
        <x:v>Backend engineer</x:v>
      </x:c>
      <x:c r="F23" s="8" t="str">
        <x:v>Not started</x:v>
      </x:c>
      <x:c r="G23" s="4" t="b">
        <x:v>0</x:v>
      </x:c>
      <x:c r="H23" s="2" t="str">
        <x:f>IF(COUNTIFS($A$6:$A$161,A23)&lt;&gt;1,"Duplicate ID",IF(O23&lt;&gt;"Ready","Dependency open",IF(G23=TRUE,IF(AND(F23="Complete",I23&lt;&gt;"",J23&lt;&gt;"",K23&lt;&gt;""),"Verified","Evidence required"),IF(F23="Complete","Check completion",IF(F23="Blocked","Blocked",IF(F23="In progress","In progress",IF(F23="In review","In review","Open")))))))</x:f>
        <x:v>Dependency open</x:v>
      </x:c>
      <x:c r="I23" s="2" t="str"/>
      <x:c r="J23" s="2" t="str"/>
      <x:c r="K23" s="2" t="str"/>
      <x:c r="L23" s="2" t="str">
        <x:v>P00.90.01</x:v>
      </x:c>
      <x:c r="M23" s="2" t="str"/>
      <x:c r="N23" s="2" t="str"/>
      <x:c r="O23" s="2" t="str">
        <x:f>IF(AND(OR(L23="",_xlfn.IFNA(VLOOKUP(L23,$A$6:$H$22,8,FALSE),"Missing")="Verified"),OR(M23="",_xlfn.IFNA(VLOOKUP(M23,$A$6:$H$22,8,FALSE),"Missing")="Verified"),OR(N23="",_xlfn.IFNA(VLOOKUP(N23,$A$6:$H$22,8,FALSE),"Missing")="Verified")),"Ready","Dependency open")</x:f>
        <x:v>Dependency open</x:v>
      </x:c>
      <x:c r="P23" s="8" t="str">
        <x:v>Candidate, fact, proposal, evidence, outcome schemas include version and provenance</x:v>
      </x:c>
      <x:c r="Q23" s="8" t="str">
        <x:v>Schema review</x:v>
      </x:c>
      <x:c r="R23" s="9"/>
      <x:c r="S23" s="9" t="n">
        <x:v>6000</x:v>
      </x:c>
      <x:c r="T23" s="2" t="str">
        <x:v>REQ-AUTH-01 / REQ-FACT-01</x:v>
      </x:c>
      <x:c r="U23" s="8" t="str">
        <x:v>Proposed work; implementation not authorized by this documentation request.</x:v>
      </x:c>
      <x:c r="V23" s="2" t="str">
        <x:v>Demo</x:v>
      </x:c>
    </x:row>
    <x:row r="24" ht="60" customHeight="1">
      <x:c r="A24" s="2" t="str">
        <x:v>P01.02.02</x:v>
      </x:c>
      <x:c r="B24" s="2" t="str">
        <x:v>P01</x:v>
      </x:c>
      <x:c r="C24" s="8" t="str">
        <x:v>P01.02 Canonical records</x:v>
      </x:c>
      <x:c r="D24" s="8" t="str">
        <x:v>Define tenant paths and server-only writes</x:v>
      </x:c>
      <x:c r="E24" s="8" t="str">
        <x:v>Backend engineer</x:v>
      </x:c>
      <x:c r="F24" s="8" t="str">
        <x:v>Not started</x:v>
      </x:c>
      <x:c r="G24" s="4" t="b">
        <x:v>0</x:v>
      </x:c>
      <x:c r="H24" s="2" t="str">
        <x:f>IF(COUNTIFS($A$6:$A$161,A24)&lt;&gt;1,"Duplicate ID",IF(O24&lt;&gt;"Ready","Dependency open",IF(G24=TRUE,IF(AND(F24="Complete",I24&lt;&gt;"",J24&lt;&gt;"",K24&lt;&gt;""),"Verified","Evidence required"),IF(F24="Complete","Check completion",IF(F24="Blocked","Blocked",IF(F24="In progress","In progress",IF(F24="In review","In review","Open")))))))</x:f>
        <x:v>Dependency open</x:v>
      </x:c>
      <x:c r="I24" s="2" t="str"/>
      <x:c r="J24" s="2" t="str"/>
      <x:c r="K24" s="2" t="str"/>
      <x:c r="L24" s="2" t="str">
        <x:v>P01.02.01</x:v>
      </x:c>
      <x:c r="M24" s="2" t="str"/>
      <x:c r="N24" s="2" t="str"/>
      <x:c r="O24" s="2" t="str">
        <x:f>IF(AND(OR(L24="",_xlfn.IFNA(VLOOKUP(L24,$A$6:$H$23,8,FALSE),"Missing")="Verified"),OR(M24="",_xlfn.IFNA(VLOOKUP(M24,$A$6:$H$23,8,FALSE),"Missing")="Verified"),OR(N24="",_xlfn.IFNA(VLOOKUP(N24,$A$6:$H$23,8,FALSE),"Missing")="Verified")),"Ready","Dependency open")</x:f>
        <x:v>Dependency open</x:v>
      </x:c>
      <x:c r="P24" s="8" t="str">
        <x:v>No global list or browser mutation bypass; server IAM assessed</x:v>
      </x:c>
      <x:c r="Q24" s="8" t="str">
        <x:v>Firestore access design</x:v>
      </x:c>
      <x:c r="R24" s="9"/>
      <x:c r="S24" s="9" t="n">
        <x:v>6000</x:v>
      </x:c>
      <x:c r="T24" s="2" t="str">
        <x:v>REQ-AUTH-01 / REQ-FACT-01</x:v>
      </x:c>
      <x:c r="U24" s="8" t="str">
        <x:v>Proposed work; implementation not authorized by this documentation request.</x:v>
      </x:c>
      <x:c r="V24" s="2" t="str">
        <x:v>Demo</x:v>
      </x:c>
    </x:row>
    <x:row r="25" ht="60" customHeight="1">
      <x:c r="A25" s="2" t="str">
        <x:v>P01.02.03</x:v>
      </x:c>
      <x:c r="B25" s="2" t="str">
        <x:v>P01</x:v>
      </x:c>
      <x:c r="C25" s="8" t="str">
        <x:v>P01.02 Canonical records</x:v>
      </x:c>
      <x:c r="D25" s="8" t="str">
        <x:v>Implement atomic versioned confirmation</x:v>
      </x:c>
      <x:c r="E25" s="8" t="str">
        <x:v>Backend engineer</x:v>
      </x:c>
      <x:c r="F25" s="8" t="str">
        <x:v>Not started</x:v>
      </x:c>
      <x:c r="G25" s="4" t="b">
        <x:v>0</x:v>
      </x:c>
      <x:c r="H25" s="2" t="str">
        <x:f>IF(COUNTIFS($A$6:$A$161,A25)&lt;&gt;1,"Duplicate ID",IF(O25&lt;&gt;"Ready","Dependency open",IF(G25=TRUE,IF(AND(F25="Complete",I25&lt;&gt;"",J25&lt;&gt;"",K25&lt;&gt;""),"Verified","Evidence required"),IF(F25="Complete","Check completion",IF(F25="Blocked","Blocked",IF(F25="In progress","In progress",IF(F25="In review","In review","Open")))))))</x:f>
        <x:v>Dependency open</x:v>
      </x:c>
      <x:c r="I25" s="2" t="str"/>
      <x:c r="J25" s="2" t="str"/>
      <x:c r="K25" s="2" t="str"/>
      <x:c r="L25" s="2" t="str">
        <x:v>P01.02.02</x:v>
      </x:c>
      <x:c r="M25" s="2" t="str"/>
      <x:c r="N25" s="2" t="str"/>
      <x:c r="O25" s="2" t="str">
        <x:f>IF(AND(OR(L25="",_xlfn.IFNA(VLOOKUP(L25,$A$6:$H$24,8,FALSE),"Missing")="Verified"),OR(M25="",_xlfn.IFNA(VLOOKUP(M25,$A$6:$H$24,8,FALSE),"Missing")="Verified"),OR(N25="",_xlfn.IFNA(VLOOKUP(N25,$A$6:$H$24,8,FALSE),"Missing")="Verified")),"Ready","Dependency open")</x:f>
        <x:v>Dependency open</x:v>
      </x:c>
      <x:c r="P25" s="8" t="str">
        <x:v>Stale version causes conflict; repeat submission does not duplicate facts</x:v>
      </x:c>
      <x:c r="Q25" s="8" t="str">
        <x:v>Confirmation conflict evidence</x:v>
      </x:c>
      <x:c r="R25" s="9"/>
      <x:c r="S25" s="9" t="n">
        <x:v>6000</x:v>
      </x:c>
      <x:c r="T25" s="2" t="str">
        <x:v>REQ-AUTH-01 / REQ-FACT-01</x:v>
      </x:c>
      <x:c r="U25" s="8" t="str">
        <x:v>Proposed work; implementation not authorized by this documentation request.</x:v>
      </x:c>
      <x:c r="V25" s="2" t="str">
        <x:v>Demo</x:v>
      </x:c>
    </x:row>
    <x:row r="26" ht="60" customHeight="1">
      <x:c r="A26" s="2" t="str">
        <x:v>P01.02.04</x:v>
      </x:c>
      <x:c r="B26" s="2" t="str">
        <x:v>P01</x:v>
      </x:c>
      <x:c r="C26" s="8" t="str">
        <x:v>P01.02 Canonical records</x:v>
      </x:c>
      <x:c r="D26" s="8" t="str">
        <x:v>Prove durable audit and restart behavior</x:v>
      </x:c>
      <x:c r="E26" s="8" t="str">
        <x:v>Backend engineer</x:v>
      </x:c>
      <x:c r="F26" s="8" t="str">
        <x:v>Not started</x:v>
      </x:c>
      <x:c r="G26" s="4" t="b">
        <x:v>0</x:v>
      </x:c>
      <x:c r="H26" s="2" t="str">
        <x:f>IF(COUNTIFS($A$6:$A$161,A26)&lt;&gt;1,"Duplicate ID",IF(O26&lt;&gt;"Ready","Dependency open",IF(G26=TRUE,IF(AND(F26="Complete",I26&lt;&gt;"",J26&lt;&gt;"",K26&lt;&gt;""),"Verified","Evidence required"),IF(F26="Complete","Check completion",IF(F26="Blocked","Blocked",IF(F26="In progress","In progress",IF(F26="In review","In review","Open")))))))</x:f>
        <x:v>Dependency open</x:v>
      </x:c>
      <x:c r="I26" s="2" t="str"/>
      <x:c r="J26" s="2" t="str"/>
      <x:c r="K26" s="2" t="str"/>
      <x:c r="L26" s="2" t="str">
        <x:v>P01.02.03</x:v>
      </x:c>
      <x:c r="M26" s="2" t="str"/>
      <x:c r="N26" s="2" t="str"/>
      <x:c r="O26" s="2" t="str">
        <x:f>IF(AND(OR(L26="",_xlfn.IFNA(VLOOKUP(L26,$A$6:$H$25,8,FALSE),"Missing")="Verified"),OR(M26="",_xlfn.IFNA(VLOOKUP(M26,$A$6:$H$25,8,FALSE),"Missing")="Verified"),OR(N26="",_xlfn.IFNA(VLOOKUP(N26,$A$6:$H$25,8,FALSE),"Missing")="Verified")),"Ready","Dependency open")</x:f>
        <x:v>Dependency open</x:v>
      </x:c>
      <x:c r="P26" s="8" t="str">
        <x:v>Business state survives restart; sensitive content excluded from logs</x:v>
      </x:c>
      <x:c r="Q26" s="8" t="str">
        <x:v>Persistence and redaction evidence</x:v>
      </x:c>
      <x:c r="R26" s="9"/>
      <x:c r="S26" s="9" t="n">
        <x:v>6000</x:v>
      </x:c>
      <x:c r="T26" s="2" t="str">
        <x:v>REQ-AUTH-01 / REQ-FACT-01</x:v>
      </x:c>
      <x:c r="U26" s="8" t="str">
        <x:v>Proposed work; implementation not authorized by this documentation request.</x:v>
      </x:c>
      <x:c r="V26" s="2" t="str">
        <x:v>Demo</x:v>
      </x:c>
    </x:row>
    <x:row r="27" ht="60" customHeight="1">
      <x:c r="A27" s="2" t="str">
        <x:v>P01.03.01</x:v>
      </x:c>
      <x:c r="B27" s="2" t="str">
        <x:v>P01</x:v>
      </x:c>
      <x:c r="C27" s="8" t="str">
        <x:v>P01.03 Runtime foundation</x:v>
      </x:c>
      <x:c r="D27" s="8" t="str">
        <x:v>Confirm supported frontend and Node pairing</x:v>
      </x:c>
      <x:c r="E27" s="8" t="str">
        <x:v>Platform engineer</x:v>
      </x:c>
      <x:c r="F27" s="8" t="str">
        <x:v>Not started</x:v>
      </x:c>
      <x:c r="G27" s="4" t="b">
        <x:v>0</x:v>
      </x:c>
      <x:c r="H27" s="2" t="str">
        <x:f>IF(COUNTIFS($A$6:$A$161,A27)&lt;&gt;1,"Duplicate ID",IF(O27&lt;&gt;"Ready","Dependency open",IF(G27=TRUE,IF(AND(F27="Complete",I27&lt;&gt;"",J27&lt;&gt;"",K27&lt;&gt;""),"Verified","Evidence required"),IF(F27="Complete","Check completion",IF(F27="Blocked","Blocked",IF(F27="In progress","In progress",IF(F27="In review","In review","Open")))))))</x:f>
        <x:v>Dependency open</x:v>
      </x:c>
      <x:c r="I27" s="2" t="str"/>
      <x:c r="J27" s="2" t="str"/>
      <x:c r="K27" s="2" t="str"/>
      <x:c r="L27" s="2" t="str">
        <x:v>P00.90.01</x:v>
      </x:c>
      <x:c r="M27" s="2" t="str"/>
      <x:c r="N27" s="2" t="str"/>
      <x:c r="O27" s="2" t="str">
        <x:f>IF(AND(OR(L27="",_xlfn.IFNA(VLOOKUP(L27,$A$6:$H$26,8,FALSE),"Missing")="Verified"),OR(M27="",_xlfn.IFNA(VLOOKUP(M27,$A$6:$H$26,8,FALSE),"Missing")="Verified"),OR(N27="",_xlfn.IFNA(VLOOKUP(N27,$A$6:$H$26,8,FALSE),"Missing")="Verified")),"Ready","Dependency open")</x:f>
        <x:v>Dependency open</x:v>
      </x:c>
      <x:c r="P27" s="8" t="str">
        <x:v>App Hosting compatibility verified for actual pinned versions</x:v>
      </x:c>
      <x:c r="Q27" s="8" t="str">
        <x:v>Runtime matrix</x:v>
      </x:c>
      <x:c r="R27" s="9"/>
      <x:c r="S27" s="9" t="n">
        <x:v>6000</x:v>
      </x:c>
      <x:c r="T27" s="2" t="str">
        <x:v>REQ-AUTH-01 / REQ-FACT-01</x:v>
      </x:c>
      <x:c r="U27" s="8" t="str">
        <x:v>Proposed work; implementation not authorized by this documentation request.</x:v>
      </x:c>
      <x:c r="V27" s="2" t="str">
        <x:v>Demo</x:v>
      </x:c>
    </x:row>
    <x:row r="28" ht="60" customHeight="1">
      <x:c r="A28" s="2" t="str">
        <x:v>P01.03.02</x:v>
      </x:c>
      <x:c r="B28" s="2" t="str">
        <x:v>P01</x:v>
      </x:c>
      <x:c r="C28" s="8" t="str">
        <x:v>P01.03 Runtime foundation</x:v>
      </x:c>
      <x:c r="D28" s="8" t="str">
        <x:v>Configure authenticated API client and origins</x:v>
      </x:c>
      <x:c r="E28" s="8" t="str">
        <x:v>Platform engineer</x:v>
      </x:c>
      <x:c r="F28" s="8" t="str">
        <x:v>Not started</x:v>
      </x:c>
      <x:c r="G28" s="4" t="b">
        <x:v>0</x:v>
      </x:c>
      <x:c r="H28" s="2" t="str">
        <x:f>IF(COUNTIFS($A$6:$A$161,A28)&lt;&gt;1,"Duplicate ID",IF(O28&lt;&gt;"Ready","Dependency open",IF(G28=TRUE,IF(AND(F28="Complete",I28&lt;&gt;"",J28&lt;&gt;"",K28&lt;&gt;""),"Verified","Evidence required"),IF(F28="Complete","Check completion",IF(F28="Blocked","Blocked",IF(F28="In progress","In progress",IF(F28="In review","In review","Open")))))))</x:f>
        <x:v>Dependency open</x:v>
      </x:c>
      <x:c r="I28" s="2" t="str"/>
      <x:c r="J28" s="2" t="str"/>
      <x:c r="K28" s="2" t="str"/>
      <x:c r="L28" s="2" t="str">
        <x:v>P01.03.01</x:v>
      </x:c>
      <x:c r="M28" s="2" t="str"/>
      <x:c r="N28" s="2" t="str"/>
      <x:c r="O28" s="2" t="str">
        <x:f>IF(AND(OR(L28="",_xlfn.IFNA(VLOOKUP(L28,$A$6:$H$27,8,FALSE),"Missing")="Verified"),OR(M28="",_xlfn.IFNA(VLOOKUP(M28,$A$6:$H$27,8,FALSE),"Missing")="Verified"),OR(N28="",_xlfn.IFNA(VLOOKUP(N28,$A$6:$H$27,8,FALSE),"Missing")="Verified")),"Ready","Dependency open")</x:f>
        <x:v>Dependency open</x:v>
      </x:c>
      <x:c r="P28" s="8" t="str">
        <x:v>Environment URL used; production origins explicit; localhost not shipped</x:v>
      </x:c>
      <x:c r="Q28" s="8" t="str">
        <x:v>Client/CORS evidence</x:v>
      </x:c>
      <x:c r="R28" s="9"/>
      <x:c r="S28" s="9" t="n">
        <x:v>6000</x:v>
      </x:c>
      <x:c r="T28" s="2" t="str">
        <x:v>REQ-AUTH-01 / REQ-FACT-01</x:v>
      </x:c>
      <x:c r="U28" s="8" t="str">
        <x:v>Proposed work; implementation not authorized by this documentation request.</x:v>
      </x:c>
      <x:c r="V28" s="2" t="str">
        <x:v>Demo</x:v>
      </x:c>
    </x:row>
    <x:row r="29" ht="60" customHeight="1">
      <x:c r="A29" s="2" t="str">
        <x:v>P01.03.03</x:v>
      </x:c>
      <x:c r="B29" s="2" t="str">
        <x:v>P01</x:v>
      </x:c>
      <x:c r="C29" s="8" t="str">
        <x:v>P01.03 Runtime foundation</x:v>
      </x:c>
      <x:c r="D29" s="8" t="str">
        <x:v>Create health and deployment contract</x:v>
      </x:c>
      <x:c r="E29" s="8" t="str">
        <x:v>Platform engineer</x:v>
      </x:c>
      <x:c r="F29" s="8" t="str">
        <x:v>Not started</x:v>
      </x:c>
      <x:c r="G29" s="4" t="b">
        <x:v>0</x:v>
      </x:c>
      <x:c r="H29" s="2" t="str">
        <x:f>IF(COUNTIFS($A$6:$A$161,A29)&lt;&gt;1,"Duplicate ID",IF(O29&lt;&gt;"Ready","Dependency open",IF(G29=TRUE,IF(AND(F29="Complete",I29&lt;&gt;"",J29&lt;&gt;"",K29&lt;&gt;""),"Verified","Evidence required"),IF(F29="Complete","Check completion",IF(F29="Blocked","Blocked",IF(F29="In progress","In progress",IF(F29="In review","In review","Open")))))))</x:f>
        <x:v>Dependency open</x:v>
      </x:c>
      <x:c r="I29" s="2" t="str"/>
      <x:c r="J29" s="2" t="str"/>
      <x:c r="K29" s="2" t="str"/>
      <x:c r="L29" s="2" t="str">
        <x:v>P01.03.02</x:v>
      </x:c>
      <x:c r="M29" s="2" t="str"/>
      <x:c r="N29" s="2" t="str"/>
      <x:c r="O29" s="2" t="str">
        <x:f>IF(AND(OR(L29="",_xlfn.IFNA(VLOOKUP(L29,$A$6:$H$28,8,FALSE),"Missing")="Verified"),OR(M29="",_xlfn.IFNA(VLOOKUP(M29,$A$6:$H$28,8,FALSE),"Missing")="Verified"),OR(N29="",_xlfn.IFNA(VLOOKUP(N29,$A$6:$H$28,8,FALSE),"Missing")="Verified")),"Ready","Dependency open")</x:f>
        <x:v>Dependency open</x:v>
      </x:c>
      <x:c r="P29" s="8" t="str">
        <x:v>Root health path stable; PORT and startup behavior documented</x:v>
      </x:c>
      <x:c r="Q29" s="8" t="str">
        <x:v>Health/deployment smoke evidence</x:v>
      </x:c>
      <x:c r="R29" s="9"/>
      <x:c r="S29" s="9" t="n">
        <x:v>6000</x:v>
      </x:c>
      <x:c r="T29" s="2" t="str">
        <x:v>REQ-AUTH-01 / REQ-FACT-01</x:v>
      </x:c>
      <x:c r="U29" s="8" t="str">
        <x:v>Proposed work; implementation not authorized by this documentation request.</x:v>
      </x:c>
      <x:c r="V29" s="2" t="str">
        <x:v>Demo</x:v>
      </x:c>
    </x:row>
    <x:row r="30" ht="60" customHeight="1">
      <x:c r="A30" s="2" t="str">
        <x:v>P01.03.04</x:v>
      </x:c>
      <x:c r="B30" s="2" t="str">
        <x:v>P01</x:v>
      </x:c>
      <x:c r="C30" s="8" t="str">
        <x:v>P01.03 Runtime foundation</x:v>
      </x:c>
      <x:c r="D30" s="8" t="str">
        <x:v>Set budgets and model call caps</x:v>
      </x:c>
      <x:c r="E30" s="8" t="str">
        <x:v>Platform engineer</x:v>
      </x:c>
      <x:c r="F30" s="8" t="str">
        <x:v>Not started</x:v>
      </x:c>
      <x:c r="G30" s="4" t="b">
        <x:v>0</x:v>
      </x:c>
      <x:c r="H30" s="2" t="str">
        <x:f>IF(COUNTIFS($A$6:$A$161,A30)&lt;&gt;1,"Duplicate ID",IF(O30&lt;&gt;"Ready","Dependency open",IF(G30=TRUE,IF(AND(F30="Complete",I30&lt;&gt;"",J30&lt;&gt;"",K30&lt;&gt;""),"Verified","Evidence required"),IF(F30="Complete","Check completion",IF(F30="Blocked","Blocked",IF(F30="In progress","In progress",IF(F30="In review","In review","Open")))))))</x:f>
        <x:v>Dependency open</x:v>
      </x:c>
      <x:c r="I30" s="2" t="str"/>
      <x:c r="J30" s="2" t="str"/>
      <x:c r="K30" s="2" t="str"/>
      <x:c r="L30" s="2" t="str">
        <x:v>P01.03.03</x:v>
      </x:c>
      <x:c r="M30" s="2" t="str"/>
      <x:c r="N30" s="2" t="str"/>
      <x:c r="O30" s="2" t="str">
        <x:f>IF(AND(OR(L30="",_xlfn.IFNA(VLOOKUP(L30,$A$6:$H$29,8,FALSE),"Missing")="Verified"),OR(M30="",_xlfn.IFNA(VLOOKUP(M30,$A$6:$H$29,8,FALSE),"Missing")="Verified"),OR(N30="",_xlfn.IFNA(VLOOKUP(N30,$A$6:$H$29,8,FALSE),"Missing")="Verified")),"Ready","Dependency open")</x:f>
        <x:v>Dependency open</x:v>
      </x:c>
      <x:c r="P30" s="8" t="str">
        <x:v>Quota, maximum attempts/tokens and alerts have owners</x:v>
      </x:c>
      <x:c r="Q30" s="8" t="str">
        <x:v>Budget configuration evidence</x:v>
      </x:c>
      <x:c r="R30" s="9"/>
      <x:c r="S30" s="9" t="n">
        <x:v>6000</x:v>
      </x:c>
      <x:c r="T30" s="2" t="str">
        <x:v>REQ-AUTH-01 / REQ-FACT-01</x:v>
      </x:c>
      <x:c r="U30" s="8" t="str">
        <x:v>Proposed work; implementation not authorized by this documentation request.</x:v>
      </x:c>
      <x:c r="V30" s="2" t="str">
        <x:v>Demo</x:v>
      </x:c>
    </x:row>
    <x:row r="31" ht="60" customHeight="1">
      <x:c r="A31" s="2" t="str">
        <x:v>P01.90.01</x:v>
      </x:c>
      <x:c r="B31" s="2" t="str">
        <x:v>P01</x:v>
      </x:c>
      <x:c r="C31" s="8" t="str">
        <x:v>P01.90 Phase gate</x:v>
      </x:c>
      <x:c r="D31" s="8" t="str">
        <x:v>Review and accept trusted foundation and contracts</x:v>
      </x:c>
      <x:c r="E31" s="8" t="str">
        <x:v>Product owner + independent reviewer</x:v>
      </x:c>
      <x:c r="F31" s="8" t="str">
        <x:v>Not started</x:v>
      </x:c>
      <x:c r="G31" s="4" t="b">
        <x:v>0</x:v>
      </x:c>
      <x:c r="H31" s="2" t="str">
        <x:f>IF(COUNTIFS($A$6:$A$161,A31)&lt;&gt;1,"Duplicate ID",IF(O31&lt;&gt;"Ready","Dependency open",IF(G31=TRUE,IF(AND(F31="Complete",I31&lt;&gt;"",J31&lt;&gt;"",K31&lt;&gt;""),"Verified","Evidence required"),IF(F31="Complete","Check completion",IF(F31="Blocked","Blocked",IF(F31="In progress","In progress",IF(F31="In review","In review","Open")))))))</x:f>
        <x:v>Dependency open</x:v>
      </x:c>
      <x:c r="I31" s="2" t="str"/>
      <x:c r="J31" s="2" t="str"/>
      <x:c r="K31" s="2" t="str"/>
      <x:c r="L31" s="2" t="str">
        <x:v>P01.01.04</x:v>
      </x:c>
      <x:c r="M31" s="2" t="str">
        <x:v>P01.02.04</x:v>
      </x:c>
      <x:c r="N31" s="2" t="str">
        <x:v>P01.03.04</x:v>
      </x:c>
      <x:c r="O31" s="2" t="str">
        <x:f>IF(AND(OR(L31="",_xlfn.IFNA(VLOOKUP(L31,$A$6:$H$30,8,FALSE),"Missing")="Verified"),OR(M31="",_xlfn.IFNA(VLOOKUP(M31,$A$6:$H$30,8,FALSE),"Missing")="Verified"),OR(N31="",_xlfn.IFNA(VLOOKUP(N31,$A$6:$H$30,8,FALSE),"Missing")="Verified")),"Ready","Dependency open")</x:f>
        <x:v>Dependency open</x:v>
      </x:c>
      <x:c r="P31" s="8" t="str">
        <x:v>All prerequisites verified; critical risks closed or explicitly rejected for rollout; human records go/revise/stop decision.</x:v>
      </x:c>
      <x:c r="Q31" s="8" t="str">
        <x:v>Phase gate record with reviewer, evidence links, residual risks and next scope</x:v>
      </x:c>
      <x:c r="R31" s="9"/>
      <x:c r="S31" s="9" t="n">
        <x:v>4000</x:v>
      </x:c>
      <x:c r="T31" s="2" t="str">
        <x:v>P01-GATE</x:v>
      </x:c>
      <x:c r="U31" s="8" t="str">
        <x:v>Unchecked until phase evidence is reviewed. A written plan is not implementation evidence.</x:v>
      </x:c>
      <x:c r="V31" s="2" t="str">
        <x:v>Demo</x:v>
      </x:c>
    </x:row>
    <x:row r="32" ht="60" customHeight="1">
      <x:c r="A32" s="2" t="str">
        <x:v>P02.01.01</x:v>
      </x:c>
      <x:c r="B32" s="2" t="str">
        <x:v>P02</x:v>
      </x:c>
      <x:c r="C32" s="8" t="str">
        <x:v>P02.01 Decision rules</x:v>
      </x:c>
      <x:c r="D32" s="8" t="str">
        <x:v>Specify pantry and meal change fixtures</x:v>
      </x:c>
      <x:c r="E32" s="8" t="str">
        <x:v>Backend engineer</x:v>
      </x:c>
      <x:c r="F32" s="8" t="str">
        <x:v>Not started</x:v>
      </x:c>
      <x:c r="G32" s="4" t="b">
        <x:v>0</x:v>
      </x:c>
      <x:c r="H32" s="2" t="str">
        <x:f>IF(COUNTIFS($A$6:$A$161,A32)&lt;&gt;1,"Duplicate ID",IF(O32&lt;&gt;"Ready","Dependency open",IF(G32=TRUE,IF(AND(F32="Complete",I32&lt;&gt;"",J32&lt;&gt;"",K32&lt;&gt;""),"Verified","Evidence required"),IF(F32="Complete","Check completion",IF(F32="Blocked","Blocked",IF(F32="In progress","In progress",IF(F32="In review","In review","Open")))))))</x:f>
        <x:v>Dependency open</x:v>
      </x:c>
      <x:c r="I32" s="2" t="str"/>
      <x:c r="J32" s="2" t="str"/>
      <x:c r="K32" s="2" t="str"/>
      <x:c r="L32" s="2" t="str">
        <x:v>P01.90.01</x:v>
      </x:c>
      <x:c r="M32" s="2" t="str"/>
      <x:c r="N32" s="2" t="str"/>
      <x:c r="O32" s="2" t="str">
        <x:f>IF(AND(OR(L32="",_xlfn.IFNA(VLOOKUP(L32,$A$6:$H$31,8,FALSE),"Missing")="Verified"),OR(M32="",_xlfn.IFNA(VLOOKUP(M32,$A$6:$H$31,8,FALSE),"Missing")="Verified"),OR(N32="",_xlfn.IFNA(VLOOKUP(N32,$A$6:$H$31,8,FALSE),"Missing")="Verified")),"Ready","Dependency open")</x:f>
        <x:v>Dependency open</x:v>
      </x:c>
      <x:c r="P32" s="8" t="str">
        <x:v>Stock freshness, ownership, units and consumed quantities explicit</x:v>
      </x:c>
      <x:c r="Q32" s="8" t="str">
        <x:v>Fixture definitions</x:v>
      </x:c>
      <x:c r="R32" s="9"/>
      <x:c r="S32" s="9" t="n">
        <x:v>6000</x:v>
      </x:c>
      <x:c r="T32" s="2" t="str">
        <x:v>J-H01 / REQ-ACT-01</x:v>
      </x:c>
      <x:c r="U32" s="8" t="str">
        <x:v>Proposed work; implementation not authorized by this documentation request.</x:v>
      </x:c>
      <x:c r="V32" s="2" t="str">
        <x:v>Demo</x:v>
      </x:c>
    </x:row>
    <x:row r="33" ht="60" customHeight="1">
      <x:c r="A33" s="2" t="str">
        <x:v>P02.01.02</x:v>
      </x:c>
      <x:c r="B33" s="2" t="str">
        <x:v>P02</x:v>
      </x:c>
      <x:c r="C33" s="8" t="str">
        <x:v>P02.01 Decision rules</x:v>
      </x:c>
      <x:c r="D33" s="8" t="str">
        <x:v>Implement unit-safe quantity reconciliation</x:v>
      </x:c>
      <x:c r="E33" s="8" t="str">
        <x:v>Backend engineer</x:v>
      </x:c>
      <x:c r="F33" s="8" t="str">
        <x:v>Not started</x:v>
      </x:c>
      <x:c r="G33" s="4" t="b">
        <x:v>0</x:v>
      </x:c>
      <x:c r="H33" s="2" t="str">
        <x:f>IF(COUNTIFS($A$6:$A$161,A33)&lt;&gt;1,"Duplicate ID",IF(O33&lt;&gt;"Ready","Dependency open",IF(G33=TRUE,IF(AND(F33="Complete",I33&lt;&gt;"",J33&lt;&gt;"",K33&lt;&gt;""),"Verified","Evidence required"),IF(F33="Complete","Check completion",IF(F33="Blocked","Blocked",IF(F33="In progress","In progress",IF(F33="In review","In review","Open")))))))</x:f>
        <x:v>Dependency open</x:v>
      </x:c>
      <x:c r="I33" s="2" t="str"/>
      <x:c r="J33" s="2" t="str"/>
      <x:c r="K33" s="2" t="str"/>
      <x:c r="L33" s="2" t="str">
        <x:v>P02.01.01</x:v>
      </x:c>
      <x:c r="M33" s="2" t="str"/>
      <x:c r="N33" s="2" t="str"/>
      <x:c r="O33" s="2" t="str">
        <x:f>IF(AND(OR(L33="",_xlfn.IFNA(VLOOKUP(L33,$A$6:$H$32,8,FALSE),"Missing")="Verified"),OR(M33="",_xlfn.IFNA(VLOOKUP(M33,$A$6:$H$32,8,FALSE),"Missing")="Verified"),OR(N33="",_xlfn.IFNA(VLOOKUP(N33,$A$6:$H$32,8,FALSE),"Missing")="Verified")),"Ready","Dependency open")</x:f>
        <x:v>Dependency open</x:v>
      </x:c>
      <x:c r="P33" s="8" t="str">
        <x:v>No g/ml conversion without verified factor; no negative stock</x:v>
      </x:c>
      <x:c r="Q33" s="8" t="str">
        <x:v>Boundary-case outputs</x:v>
      </x:c>
      <x:c r="R33" s="9"/>
      <x:c r="S33" s="9" t="n">
        <x:v>6000</x:v>
      </x:c>
      <x:c r="T33" s="2" t="str">
        <x:v>J-H01 / REQ-ACT-01</x:v>
      </x:c>
      <x:c r="U33" s="8" t="str">
        <x:v>Proposed work; implementation not authorized by this documentation request.</x:v>
      </x:c>
      <x:c r="V33" s="2" t="str">
        <x:v>Demo</x:v>
      </x:c>
    </x:row>
    <x:row r="34" ht="60" customHeight="1">
      <x:c r="A34" s="2" t="str">
        <x:v>P02.01.03</x:v>
      </x:c>
      <x:c r="B34" s="2" t="str">
        <x:v>P02</x:v>
      </x:c>
      <x:c r="C34" s="8" t="str">
        <x:v>P02.01 Decision rules</x:v>
      </x:c>
      <x:c r="D34" s="8" t="str">
        <x:v>Implement portion and cutoff rules</x:v>
      </x:c>
      <x:c r="E34" s="8" t="str">
        <x:v>Backend engineer</x:v>
      </x:c>
      <x:c r="F34" s="8" t="str">
        <x:v>Not started</x:v>
      </x:c>
      <x:c r="G34" s="4" t="b">
        <x:v>0</x:v>
      </x:c>
      <x:c r="H34" s="2" t="str">
        <x:f>IF(COUNTIFS($A$6:$A$161,A34)&lt;&gt;1,"Duplicate ID",IF(O34&lt;&gt;"Ready","Dependency open",IF(G34=TRUE,IF(AND(F34="Complete",I34&lt;&gt;"",J34&lt;&gt;"",K34&lt;&gt;""),"Verified","Evidence required"),IF(F34="Complete","Check completion",IF(F34="Blocked","Blocked",IF(F34="In progress","In progress",IF(F34="In review","In review","Open")))))))</x:f>
        <x:v>Dependency open</x:v>
      </x:c>
      <x:c r="I34" s="2" t="str"/>
      <x:c r="J34" s="2" t="str"/>
      <x:c r="K34" s="2" t="str"/>
      <x:c r="L34" s="2" t="str">
        <x:v>P02.01.02</x:v>
      </x:c>
      <x:c r="M34" s="2" t="str"/>
      <x:c r="N34" s="2" t="str"/>
      <x:c r="O34" s="2" t="str">
        <x:f>IF(AND(OR(L34="",_xlfn.IFNA(VLOOKUP(L34,$A$6:$H$33,8,FALSE),"Missing")="Verified"),OR(M34="",_xlfn.IFNA(VLOOKUP(M34,$A$6:$H$33,8,FALSE),"Missing")="Verified"),OR(N34="",_xlfn.IFNA(VLOOKUP(N34,$A$6:$H$33,8,FALSE),"Missing")="Verified")),"Ready","Dependency open")</x:f>
        <x:v>Dependency open</x:v>
      </x:c>
      <x:c r="P34" s="8" t="str">
        <x:v>Zero diners and after-cutoff behavior deterministic and explained</x:v>
      </x:c>
      <x:c r="Q34" s="8" t="str">
        <x:v>Rule-case outputs</x:v>
      </x:c>
      <x:c r="R34" s="9"/>
      <x:c r="S34" s="9" t="n">
        <x:v>6000</x:v>
      </x:c>
      <x:c r="T34" s="2" t="str">
        <x:v>J-H01 / REQ-ACT-01</x:v>
      </x:c>
      <x:c r="U34" s="8" t="str">
        <x:v>Proposed work; implementation not authorized by this documentation request.</x:v>
      </x:c>
      <x:c r="V34" s="2" t="str">
        <x:v>Demo</x:v>
      </x:c>
    </x:row>
    <x:row r="35" ht="60" customHeight="1">
      <x:c r="A35" s="2" t="str">
        <x:v>P02.01.04</x:v>
      </x:c>
      <x:c r="B35" s="2" t="str">
        <x:v>P02</x:v>
      </x:c>
      <x:c r="C35" s="8" t="str">
        <x:v>P02.01 Decision rules</x:v>
      </x:c>
      <x:c r="D35" s="8" t="str">
        <x:v>Implement immutable simulated proposal</x:v>
      </x:c>
      <x:c r="E35" s="8" t="str">
        <x:v>Backend engineer</x:v>
      </x:c>
      <x:c r="F35" s="8" t="str">
        <x:v>Not started</x:v>
      </x:c>
      <x:c r="G35" s="4" t="b">
        <x:v>0</x:v>
      </x:c>
      <x:c r="H35" s="2" t="str">
        <x:f>IF(COUNTIFS($A$6:$A$161,A35)&lt;&gt;1,"Duplicate ID",IF(O35&lt;&gt;"Ready","Dependency open",IF(G35=TRUE,IF(AND(F35="Complete",I35&lt;&gt;"",J35&lt;&gt;"",K35&lt;&gt;""),"Verified","Evidence required"),IF(F35="Complete","Check completion",IF(F35="Blocked","Blocked",IF(F35="In progress","In progress",IF(F35="In review","In review","Open")))))))</x:f>
        <x:v>Dependency open</x:v>
      </x:c>
      <x:c r="I35" s="2" t="str"/>
      <x:c r="J35" s="2" t="str"/>
      <x:c r="K35" s="2" t="str"/>
      <x:c r="L35" s="2" t="str">
        <x:v>P02.01.03</x:v>
      </x:c>
      <x:c r="M35" s="2" t="str"/>
      <x:c r="N35" s="2" t="str"/>
      <x:c r="O35" s="2" t="str">
        <x:f>IF(AND(OR(L35="",_xlfn.IFNA(VLOOKUP(L35,$A$6:$H$34,8,FALSE),"Missing")="Verified"),OR(M35="",_xlfn.IFNA(VLOOKUP(M35,$A$6:$H$34,8,FALSE),"Missing")="Verified"),OR(N35="",_xlfn.IFNA(VLOOKUP(N35,$A$6:$H$34,8,FALSE),"Missing")="Verified")),"Ready","Dependency open")</x:f>
        <x:v>Dependency open</x:v>
      </x:c>
      <x:c r="P35" s="8" t="str">
        <x:v>Snapshot versions, expiry and preview hash stored; simulated true</x:v>
      </x:c>
      <x:c r="Q35" s="8" t="str">
        <x:v>Proposal contract evidence</x:v>
      </x:c>
      <x:c r="R35" s="9"/>
      <x:c r="S35" s="9" t="n">
        <x:v>6000</x:v>
      </x:c>
      <x:c r="T35" s="2" t="str">
        <x:v>J-H01 / REQ-ACT-01</x:v>
      </x:c>
      <x:c r="U35" s="8" t="str">
        <x:v>Proposed work; implementation not authorized by this documentation request.</x:v>
      </x:c>
      <x:c r="V35" s="2" t="str">
        <x:v>Demo</x:v>
      </x:c>
    </x:row>
    <x:row r="36" ht="60" customHeight="1">
      <x:c r="A36" s="2" t="str">
        <x:v>P02.02.01</x:v>
      </x:c>
      <x:c r="B36" s="2" t="str">
        <x:v>P02</x:v>
      </x:c>
      <x:c r="C36" s="8" t="str">
        <x:v>P02.02 Evaluation baseline</x:v>
      </x:c>
      <x:c r="D36" s="8" t="str">
        <x:v>Annotate household gold cases</x:v>
      </x:c>
      <x:c r="E36" s="8" t="str">
        <x:v>Evaluation reviewer</x:v>
      </x:c>
      <x:c r="F36" s="8" t="str">
        <x:v>Not started</x:v>
      </x:c>
      <x:c r="G36" s="4" t="b">
        <x:v>0</x:v>
      </x:c>
      <x:c r="H36" s="2" t="str">
        <x:f>IF(COUNTIFS($A$6:$A$161,A36)&lt;&gt;1,"Duplicate ID",IF(O36&lt;&gt;"Ready","Dependency open",IF(G36=TRUE,IF(AND(F36="Complete",I36&lt;&gt;"",J36&lt;&gt;"",K36&lt;&gt;""),"Verified","Evidence required"),IF(F36="Complete","Check completion",IF(F36="Blocked","Blocked",IF(F36="In progress","In progress",IF(F36="In review","In review","Open")))))))</x:f>
        <x:v>Dependency open</x:v>
      </x:c>
      <x:c r="I36" s="2" t="str"/>
      <x:c r="J36" s="2" t="str"/>
      <x:c r="K36" s="2" t="str"/>
      <x:c r="L36" s="2" t="str">
        <x:v>P01.90.01</x:v>
      </x:c>
      <x:c r="M36" s="2" t="str"/>
      <x:c r="N36" s="2" t="str"/>
      <x:c r="O36" s="2" t="str">
        <x:f>IF(AND(OR(L36="",_xlfn.IFNA(VLOOKUP(L36,$A$6:$H$35,8,FALSE),"Missing")="Verified"),OR(M36="",_xlfn.IFNA(VLOOKUP(M36,$A$6:$H$35,8,FALSE),"Missing")="Verified"),OR(N36="",_xlfn.IFNA(VLOOKUP(N36,$A$6:$H$35,8,FALSE),"Missing")="Verified")),"Ready","Dependency open")</x:f>
        <x:v>Dependency open</x:v>
      </x:c>
      <x:c r="P36" s="8" t="str">
        <x:v>Labels and rejection reasons independently reviewed</x:v>
      </x:c>
      <x:c r="Q36" s="8" t="str">
        <x:v>Gold-case register</x:v>
      </x:c>
      <x:c r="R36" s="9"/>
      <x:c r="S36" s="9" t="n">
        <x:v>6000</x:v>
      </x:c>
      <x:c r="T36" s="2" t="str">
        <x:v>J-H01 / REQ-ACT-01</x:v>
      </x:c>
      <x:c r="U36" s="8" t="str">
        <x:v>Proposed work; implementation not authorized by this documentation request.</x:v>
      </x:c>
      <x:c r="V36" s="2" t="str">
        <x:v>Demo</x:v>
      </x:c>
    </x:row>
    <x:row r="37" ht="60" customHeight="1">
      <x:c r="A37" s="2" t="str">
        <x:v>P02.02.02</x:v>
      </x:c>
      <x:c r="B37" s="2" t="str">
        <x:v>P02</x:v>
      </x:c>
      <x:c r="C37" s="8" t="str">
        <x:v>P02.02 Evaluation baseline</x:v>
      </x:c>
      <x:c r="D37" s="8" t="str">
        <x:v>Run rules-only baseline</x:v>
      </x:c>
      <x:c r="E37" s="8" t="str">
        <x:v>Evaluation reviewer</x:v>
      </x:c>
      <x:c r="F37" s="8" t="str">
        <x:v>Not started</x:v>
      </x:c>
      <x:c r="G37" s="4" t="b">
        <x:v>0</x:v>
      </x:c>
      <x:c r="H37" s="2" t="str">
        <x:f>IF(COUNTIFS($A$6:$A$161,A37)&lt;&gt;1,"Duplicate ID",IF(O37&lt;&gt;"Ready","Dependency open",IF(G37=TRUE,IF(AND(F37="Complete",I37&lt;&gt;"",J37&lt;&gt;"",K37&lt;&gt;""),"Verified","Evidence required"),IF(F37="Complete","Check completion",IF(F37="Blocked","Blocked",IF(F37="In progress","In progress",IF(F37="In review","In review","Open")))))))</x:f>
        <x:v>Dependency open</x:v>
      </x:c>
      <x:c r="I37" s="2" t="str"/>
      <x:c r="J37" s="2" t="str"/>
      <x:c r="K37" s="2" t="str"/>
      <x:c r="L37" s="2" t="str">
        <x:v>P02.02.01</x:v>
      </x:c>
      <x:c r="M37" s="2" t="str"/>
      <x:c r="N37" s="2" t="str"/>
      <x:c r="O37" s="2" t="str">
        <x:f>IF(AND(OR(L37="",_xlfn.IFNA(VLOOKUP(L37,$A$6:$H$36,8,FALSE),"Missing")="Verified"),OR(M37="",_xlfn.IFNA(VLOOKUP(M37,$A$6:$H$36,8,FALSE),"Missing")="Verified"),OR(N37="",_xlfn.IFNA(VLOOKUP(N37,$A$6:$H$36,8,FALSE),"Missing")="Verified")),"Ready","Dependency open")</x:f>
        <x:v>Dependency open</x:v>
      </x:c>
      <x:c r="P37" s="8" t="str">
        <x:v>Fixed input fixtures and privileges; raw results retained</x:v>
      </x:c>
      <x:c r="Q37" s="8" t="str">
        <x:v>Baseline run ID</x:v>
      </x:c>
      <x:c r="R37" s="9"/>
      <x:c r="S37" s="9" t="n">
        <x:v>6000</x:v>
      </x:c>
      <x:c r="T37" s="2" t="str">
        <x:v>J-H01 / REQ-ACT-01</x:v>
      </x:c>
      <x:c r="U37" s="8" t="str">
        <x:v>Proposed work; implementation not authorized by this documentation request.</x:v>
      </x:c>
      <x:c r="V37" s="2" t="str">
        <x:v>Demo</x:v>
      </x:c>
    </x:row>
    <x:row r="38" ht="60" customHeight="1">
      <x:c r="A38" s="2" t="str">
        <x:v>P02.02.03</x:v>
      </x:c>
      <x:c r="B38" s="2" t="str">
        <x:v>P02</x:v>
      </x:c>
      <x:c r="C38" s="8" t="str">
        <x:v>P02.02 Evaluation baseline</x:v>
      </x:c>
      <x:c r="D38" s="8" t="str">
        <x:v>Add adversarial and concurrency assertions</x:v>
      </x:c>
      <x:c r="E38" s="8" t="str">
        <x:v>Evaluation reviewer</x:v>
      </x:c>
      <x:c r="F38" s="8" t="str">
        <x:v>Not started</x:v>
      </x:c>
      <x:c r="G38" s="4" t="b">
        <x:v>0</x:v>
      </x:c>
      <x:c r="H38" s="2" t="str">
        <x:f>IF(COUNTIFS($A$6:$A$161,A38)&lt;&gt;1,"Duplicate ID",IF(O38&lt;&gt;"Ready","Dependency open",IF(G38=TRUE,IF(AND(F38="Complete",I38&lt;&gt;"",J38&lt;&gt;"",K38&lt;&gt;""),"Verified","Evidence required"),IF(F38="Complete","Check completion",IF(F38="Blocked","Blocked",IF(F38="In progress","In progress",IF(F38="In review","In review","Open")))))))</x:f>
        <x:v>Dependency open</x:v>
      </x:c>
      <x:c r="I38" s="2" t="str"/>
      <x:c r="J38" s="2" t="str"/>
      <x:c r="K38" s="2" t="str"/>
      <x:c r="L38" s="2" t="str">
        <x:v>P02.02.02</x:v>
      </x:c>
      <x:c r="M38" s="2" t="str"/>
      <x:c r="N38" s="2" t="str"/>
      <x:c r="O38" s="2" t="str">
        <x:f>IF(AND(OR(L38="",_xlfn.IFNA(VLOOKUP(L38,$A$6:$H$37,8,FALSE),"Missing")="Verified"),OR(M38="",_xlfn.IFNA(VLOOKUP(M38,$A$6:$H$37,8,FALSE),"Missing")="Verified"),OR(N38="",_xlfn.IFNA(VLOOKUP(N38,$A$6:$H$37,8,FALSE),"Missing")="Verified")),"Ready","Dependency open")</x:f>
        <x:v>Dependency open</x:v>
      </x:c>
      <x:c r="P38" s="8" t="str">
        <x:v>Injected text, stale facts and approval races covered</x:v>
      </x:c>
      <x:c r="Q38" s="8" t="str">
        <x:v>Negative-case results</x:v>
      </x:c>
      <x:c r="R38" s="9"/>
      <x:c r="S38" s="9" t="n">
        <x:v>6000</x:v>
      </x:c>
      <x:c r="T38" s="2" t="str">
        <x:v>J-H01 / REQ-ACT-01</x:v>
      </x:c>
      <x:c r="U38" s="8" t="str">
        <x:v>Proposed work; implementation not authorized by this documentation request.</x:v>
      </x:c>
      <x:c r="V38" s="2" t="str">
        <x:v>Demo</x:v>
      </x:c>
    </x:row>
    <x:row r="39" ht="60" customHeight="1">
      <x:c r="A39" s="2" t="str">
        <x:v>P02.02.04</x:v>
      </x:c>
      <x:c r="B39" s="2" t="str">
        <x:v>P02</x:v>
      </x:c>
      <x:c r="C39" s="8" t="str">
        <x:v>P02.02 Evaluation baseline</x:v>
      </x:c>
      <x:c r="D39" s="8" t="str">
        <x:v>Define fair comparison protocol</x:v>
      </x:c>
      <x:c r="E39" s="8" t="str">
        <x:v>Evaluation reviewer</x:v>
      </x:c>
      <x:c r="F39" s="8" t="str">
        <x:v>Not started</x:v>
      </x:c>
      <x:c r="G39" s="4" t="b">
        <x:v>0</x:v>
      </x:c>
      <x:c r="H39" s="2" t="str">
        <x:f>IF(COUNTIFS($A$6:$A$161,A39)&lt;&gt;1,"Duplicate ID",IF(O39&lt;&gt;"Ready","Dependency open",IF(G39=TRUE,IF(AND(F39="Complete",I39&lt;&gt;"",J39&lt;&gt;"",K39&lt;&gt;""),"Verified","Evidence required"),IF(F39="Complete","Check completion",IF(F39="Blocked","Blocked",IF(F39="In progress","In progress",IF(F39="In review","In review","Open")))))))</x:f>
        <x:v>Dependency open</x:v>
      </x:c>
      <x:c r="I39" s="2" t="str"/>
      <x:c r="J39" s="2" t="str"/>
      <x:c r="K39" s="2" t="str"/>
      <x:c r="L39" s="2" t="str">
        <x:v>P02.02.03</x:v>
      </x:c>
      <x:c r="M39" s="2" t="str"/>
      <x:c r="N39" s="2" t="str"/>
      <x:c r="O39" s="2" t="str">
        <x:f>IF(AND(OR(L39="",_xlfn.IFNA(VLOOKUP(L39,$A$6:$H$38,8,FALSE),"Missing")="Verified"),OR(M39="",_xlfn.IFNA(VLOOKUP(M39,$A$6:$H$38,8,FALSE),"Missing")="Verified"),OR(N39="",_xlfn.IFNA(VLOOKUP(N39,$A$6:$H$38,8,FALSE),"Missing")="Verified")),"Ready","Dependency open")</x:f>
        <x:v>Dependency open</x:v>
      </x:c>
      <x:c r="P39" s="8" t="str">
        <x:v>Equivalent inputs, model budget and reporting denominator frozen</x:v>
      </x:c>
      <x:c r="Q39" s="8" t="str">
        <x:v>Evaluation protocol</x:v>
      </x:c>
      <x:c r="R39" s="9"/>
      <x:c r="S39" s="9" t="n">
        <x:v>6000</x:v>
      </x:c>
      <x:c r="T39" s="2" t="str">
        <x:v>J-H01 / REQ-ACT-01</x:v>
      </x:c>
      <x:c r="U39" s="8" t="str">
        <x:v>Proposed work; implementation not authorized by this documentation request.</x:v>
      </x:c>
      <x:c r="V39" s="2" t="str">
        <x:v>Demo</x:v>
      </x:c>
    </x:row>
    <x:row r="40" ht="60" customHeight="1">
      <x:c r="A40" s="2" t="str">
        <x:v>P02.03.01</x:v>
      </x:c>
      <x:c r="B40" s="2" t="str">
        <x:v>P02</x:v>
      </x:c>
      <x:c r="C40" s="8" t="str">
        <x:v>P02.03 Human workflow</x:v>
      </x:c>
      <x:c r="D40" s="8" t="str">
        <x:v>Build synthetic scenario start and actor view</x:v>
      </x:c>
      <x:c r="E40" s="8" t="str">
        <x:v>Frontend engineer</x:v>
      </x:c>
      <x:c r="F40" s="8" t="str">
        <x:v>Not started</x:v>
      </x:c>
      <x:c r="G40" s="4" t="b">
        <x:v>0</x:v>
      </x:c>
      <x:c r="H40" s="2" t="str">
        <x:f>IF(COUNTIFS($A$6:$A$161,A40)&lt;&gt;1,"Duplicate ID",IF(O40&lt;&gt;"Ready","Dependency open",IF(G40=TRUE,IF(AND(F40="Complete",I40&lt;&gt;"",J40&lt;&gt;"",K40&lt;&gt;""),"Verified","Evidence required"),IF(F40="Complete","Check completion",IF(F40="Blocked","Blocked",IF(F40="In progress","In progress",IF(F40="In review","In review","Open")))))))</x:f>
        <x:v>Dependency open</x:v>
      </x:c>
      <x:c r="I40" s="2" t="str"/>
      <x:c r="J40" s="2" t="str"/>
      <x:c r="K40" s="2" t="str"/>
      <x:c r="L40" s="2" t="str">
        <x:v>P01.90.01</x:v>
      </x:c>
      <x:c r="M40" s="2" t="str"/>
      <x:c r="N40" s="2" t="str"/>
      <x:c r="O40" s="2" t="str">
        <x:f>IF(AND(OR(L40="",_xlfn.IFNA(VLOOKUP(L40,$A$6:$H$39,8,FALSE),"Missing")="Verified"),OR(M40="",_xlfn.IFNA(VLOOKUP(M40,$A$6:$H$39,8,FALSE),"Missing")="Verified"),OR(N40="",_xlfn.IFNA(VLOOKUP(N40,$A$6:$H$39,8,FALSE),"Missing")="Verified")),"Ready","Dependency open")</x:f>
        <x:v>Dependency open</x:v>
      </x:c>
      <x:c r="P40" s="8" t="str">
        <x:v>Demo tenant and simulated records conspicuous</x:v>
      </x:c>
      <x:c r="Q40" s="8" t="str">
        <x:v>Scenario screen evidence</x:v>
      </x:c>
      <x:c r="R40" s="9"/>
      <x:c r="S40" s="9" t="n">
        <x:v>6000</x:v>
      </x:c>
      <x:c r="T40" s="2" t="str">
        <x:v>J-H01 / REQ-ACT-01</x:v>
      </x:c>
      <x:c r="U40" s="8" t="str">
        <x:v>Proposed work; implementation not authorized by this documentation request.</x:v>
      </x:c>
      <x:c r="V40" s="2" t="str">
        <x:v>Demo</x:v>
      </x:c>
    </x:row>
    <x:row r="41" ht="60" customHeight="1">
      <x:c r="A41" s="2" t="str">
        <x:v>P02.03.02</x:v>
      </x:c>
      <x:c r="B41" s="2" t="str">
        <x:v>P02</x:v>
      </x:c>
      <x:c r="C41" s="8" t="str">
        <x:v>P02.03 Human workflow</x:v>
      </x:c>
      <x:c r="D41" s="8" t="str">
        <x:v>Build candidate/fact review interaction</x:v>
      </x:c>
      <x:c r="E41" s="8" t="str">
        <x:v>Frontend engineer</x:v>
      </x:c>
      <x:c r="F41" s="8" t="str">
        <x:v>Not started</x:v>
      </x:c>
      <x:c r="G41" s="4" t="b">
        <x:v>0</x:v>
      </x:c>
      <x:c r="H41" s="2" t="str">
        <x:f>IF(COUNTIFS($A$6:$A$161,A41)&lt;&gt;1,"Duplicate ID",IF(O41&lt;&gt;"Ready","Dependency open",IF(G41=TRUE,IF(AND(F41="Complete",I41&lt;&gt;"",J41&lt;&gt;"",K41&lt;&gt;""),"Verified","Evidence required"),IF(F41="Complete","Check completion",IF(F41="Blocked","Blocked",IF(F41="In progress","In progress",IF(F41="In review","In review","Open")))))))</x:f>
        <x:v>Dependency open</x:v>
      </x:c>
      <x:c r="I41" s="2" t="str"/>
      <x:c r="J41" s="2" t="str"/>
      <x:c r="K41" s="2" t="str"/>
      <x:c r="L41" s="2" t="str">
        <x:v>P02.03.01</x:v>
      </x:c>
      <x:c r="M41" s="2" t="str"/>
      <x:c r="N41" s="2" t="str"/>
      <x:c r="O41" s="2" t="str">
        <x:f>IF(AND(OR(L41="",_xlfn.IFNA(VLOOKUP(L41,$A$6:$H$40,8,FALSE),"Missing")="Verified"),OR(M41="",_xlfn.IFNA(VLOOKUP(M41,$A$6:$H$40,8,FALSE),"Missing")="Verified"),OR(N41="",_xlfn.IFNA(VLOOKUP(N41,$A$6:$H$40,8,FALSE),"Missing")="Verified")),"Ready","Dependency open")</x:f>
        <x:v>Dependency open</x:v>
      </x:c>
      <x:c r="P41" s="8" t="str">
        <x:v>Field changes explicit; confirm distinct from extraction</x:v>
      </x:c>
      <x:c r="Q41" s="8" t="str">
        <x:v>Review-flow evidence</x:v>
      </x:c>
      <x:c r="R41" s="9"/>
      <x:c r="S41" s="9" t="n">
        <x:v>6000</x:v>
      </x:c>
      <x:c r="T41" s="2" t="str">
        <x:v>J-H01 / REQ-ACT-01</x:v>
      </x:c>
      <x:c r="U41" s="8" t="str">
        <x:v>Proposed work; implementation not authorized by this documentation request.</x:v>
      </x:c>
      <x:c r="V41" s="2" t="str">
        <x:v>Demo</x:v>
      </x:c>
    </x:row>
    <x:row r="42" ht="60" customHeight="1">
      <x:c r="A42" s="2" t="str">
        <x:v>P02.03.03</x:v>
      </x:c>
      <x:c r="B42" s="2" t="str">
        <x:v>P02</x:v>
      </x:c>
      <x:c r="C42" s="8" t="str">
        <x:v>P02.03 Human workflow</x:v>
      </x:c>
      <x:c r="D42" s="8" t="str">
        <x:v>Build proposal preview and approval interaction</x:v>
      </x:c>
      <x:c r="E42" s="8" t="str">
        <x:v>Frontend engineer</x:v>
      </x:c>
      <x:c r="F42" s="8" t="str">
        <x:v>Not started</x:v>
      </x:c>
      <x:c r="G42" s="4" t="b">
        <x:v>0</x:v>
      </x:c>
      <x:c r="H42" s="2" t="str">
        <x:f>IF(COUNTIFS($A$6:$A$161,A42)&lt;&gt;1,"Duplicate ID",IF(O42&lt;&gt;"Ready","Dependency open",IF(G42=TRUE,IF(AND(F42="Complete",I42&lt;&gt;"",J42&lt;&gt;"",K42&lt;&gt;""),"Verified","Evidence required"),IF(F42="Complete","Check completion",IF(F42="Blocked","Blocked",IF(F42="In progress","In progress",IF(F42="In review","In review","Open")))))))</x:f>
        <x:v>Dependency open</x:v>
      </x:c>
      <x:c r="I42" s="2" t="str"/>
      <x:c r="J42" s="2" t="str"/>
      <x:c r="K42" s="2" t="str"/>
      <x:c r="L42" s="2" t="str">
        <x:v>P02.03.02</x:v>
      </x:c>
      <x:c r="M42" s="2" t="str"/>
      <x:c r="N42" s="2" t="str"/>
      <x:c r="O42" s="2" t="str">
        <x:f>IF(AND(OR(L42="",_xlfn.IFNA(VLOOKUP(L42,$A$6:$H$41,8,FALSE),"Missing")="Verified"),OR(M42="",_xlfn.IFNA(VLOOKUP(M42,$A$6:$H$41,8,FALSE),"Missing")="Verified"),OR(N42="",_xlfn.IFNA(VLOOKUP(N42,$A$6:$H$41,8,FALSE),"Missing")="Verified")),"Ready","Dependency open")</x:f>
        <x:v>Dependency open</x:v>
      </x:c>
      <x:c r="P42" s="8" t="str">
        <x:v>Actor sees quantities, uncertainty, expiry and simulation before approving</x:v>
      </x:c>
      <x:c r="Q42" s="8" t="str">
        <x:v>Approval UX evidence</x:v>
      </x:c>
      <x:c r="R42" s="9"/>
      <x:c r="S42" s="9" t="n">
        <x:v>6000</x:v>
      </x:c>
      <x:c r="T42" s="2" t="str">
        <x:v>J-H01 / REQ-ACT-01</x:v>
      </x:c>
      <x:c r="U42" s="8" t="str">
        <x:v>Proposed work; implementation not authorized by this documentation request.</x:v>
      </x:c>
      <x:c r="V42" s="2" t="str">
        <x:v>Demo</x:v>
      </x:c>
    </x:row>
    <x:row r="43" ht="60" customHeight="1">
      <x:c r="A43" s="2" t="str">
        <x:v>P02.03.04</x:v>
      </x:c>
      <x:c r="B43" s="2" t="str">
        <x:v>P02</x:v>
      </x:c>
      <x:c r="C43" s="8" t="str">
        <x:v>P02.03 Human workflow</x:v>
      </x:c>
      <x:c r="D43" s="8" t="str">
        <x:v>Build honest outcome journal states</x:v>
      </x:c>
      <x:c r="E43" s="8" t="str">
        <x:v>Frontend engineer</x:v>
      </x:c>
      <x:c r="F43" s="8" t="str">
        <x:v>Not started</x:v>
      </x:c>
      <x:c r="G43" s="4" t="b">
        <x:v>0</x:v>
      </x:c>
      <x:c r="H43" s="2" t="str">
        <x:f>IF(COUNTIFS($A$6:$A$161,A43)&lt;&gt;1,"Duplicate ID",IF(O43&lt;&gt;"Ready","Dependency open",IF(G43=TRUE,IF(AND(F43="Complete",I43&lt;&gt;"",J43&lt;&gt;"",K43&lt;&gt;""),"Verified","Evidence required"),IF(F43="Complete","Check completion",IF(F43="Blocked","Blocked",IF(F43="In progress","In progress",IF(F43="In review","In review","Open")))))))</x:f>
        <x:v>Dependency open</x:v>
      </x:c>
      <x:c r="I43" s="2" t="str"/>
      <x:c r="J43" s="2" t="str"/>
      <x:c r="K43" s="2" t="str"/>
      <x:c r="L43" s="2" t="str">
        <x:v>P02.03.03</x:v>
      </x:c>
      <x:c r="M43" s="2" t="str"/>
      <x:c r="N43" s="2" t="str"/>
      <x:c r="O43" s="2" t="str">
        <x:f>IF(AND(OR(L43="",_xlfn.IFNA(VLOOKUP(L43,$A$6:$H$42,8,FALSE),"Missing")="Verified"),OR(M43="",_xlfn.IFNA(VLOOKUP(M43,$A$6:$H$42,8,FALSE),"Missing")="Verified"),OR(N43="",_xlfn.IFNA(VLOOKUP(N43,$A$6:$H$42,8,FALSE),"Missing")="Verified")),"Ready","Dependency open")</x:f>
        <x:v>Dependency open</x:v>
      </x:c>
      <x:c r="P43" s="8" t="str">
        <x:v>Measured, simulated and unknown separated; loading/empty/error/retry shown</x:v>
      </x:c>
      <x:c r="Q43" s="8" t="str">
        <x:v>Outcome state screenshots</x:v>
      </x:c>
      <x:c r="R43" s="9"/>
      <x:c r="S43" s="9" t="n">
        <x:v>6000</x:v>
      </x:c>
      <x:c r="T43" s="2" t="str">
        <x:v>J-H01 / REQ-ACT-01</x:v>
      </x:c>
      <x:c r="U43" s="8" t="str">
        <x:v>Proposed work; implementation not authorized by this documentation request.</x:v>
      </x:c>
      <x:c r="V43" s="2" t="str">
        <x:v>Demo</x:v>
      </x:c>
    </x:row>
    <x:row r="44" ht="60" customHeight="1">
      <x:c r="A44" s="2" t="str">
        <x:v>P02.90.01</x:v>
      </x:c>
      <x:c r="B44" s="2" t="str">
        <x:v>P02</x:v>
      </x:c>
      <x:c r="C44" s="8" t="str">
        <x:v>P02.90 Phase gate</x:v>
      </x:c>
      <x:c r="D44" s="8" t="str">
        <x:v>Review and accept deterministic baseline and synthetic household flow</x:v>
      </x:c>
      <x:c r="E44" s="8" t="str">
        <x:v>Product owner + independent reviewer</x:v>
      </x:c>
      <x:c r="F44" s="8" t="str">
        <x:v>Not started</x:v>
      </x:c>
      <x:c r="G44" s="4" t="b">
        <x:v>0</x:v>
      </x:c>
      <x:c r="H44" s="2" t="str">
        <x:f>IF(COUNTIFS($A$6:$A$161,A44)&lt;&gt;1,"Duplicate ID",IF(O44&lt;&gt;"Ready","Dependency open",IF(G44=TRUE,IF(AND(F44="Complete",I44&lt;&gt;"",J44&lt;&gt;"",K44&lt;&gt;""),"Verified","Evidence required"),IF(F44="Complete","Check completion",IF(F44="Blocked","Blocked",IF(F44="In progress","In progress",IF(F44="In review","In review","Open")))))))</x:f>
        <x:v>Dependency open</x:v>
      </x:c>
      <x:c r="I44" s="2" t="str"/>
      <x:c r="J44" s="2" t="str"/>
      <x:c r="K44" s="2" t="str"/>
      <x:c r="L44" s="2" t="str">
        <x:v>P02.01.04</x:v>
      </x:c>
      <x:c r="M44" s="2" t="str">
        <x:v>P02.02.04</x:v>
      </x:c>
      <x:c r="N44" s="2" t="str">
        <x:v>P02.03.04</x:v>
      </x:c>
      <x:c r="O44" s="2" t="str">
        <x:f>IF(AND(OR(L44="",_xlfn.IFNA(VLOOKUP(L44,$A$6:$H$43,8,FALSE),"Missing")="Verified"),OR(M44="",_xlfn.IFNA(VLOOKUP(M44,$A$6:$H$43,8,FALSE),"Missing")="Verified"),OR(N44="",_xlfn.IFNA(VLOOKUP(N44,$A$6:$H$43,8,FALSE),"Missing")="Verified")),"Ready","Dependency open")</x:f>
        <x:v>Dependency open</x:v>
      </x:c>
      <x:c r="P44" s="8" t="str">
        <x:v>All prerequisites verified; critical risks closed or explicitly rejected for rollout; human records go/revise/stop decision.</x:v>
      </x:c>
      <x:c r="Q44" s="8" t="str">
        <x:v>Phase gate record with reviewer, evidence links, residual risks and next scope</x:v>
      </x:c>
      <x:c r="R44" s="9"/>
      <x:c r="S44" s="9" t="n">
        <x:v>4000</x:v>
      </x:c>
      <x:c r="T44" s="2" t="str">
        <x:v>P02-GATE</x:v>
      </x:c>
      <x:c r="U44" s="8" t="str">
        <x:v>Unchecked until phase evidence is reviewed. A written plan is not implementation evidence.</x:v>
      </x:c>
      <x:c r="V44" s="2" t="str">
        <x:v>Demo</x:v>
      </x:c>
    </x:row>
    <x:row r="45" ht="60" customHeight="1">
      <x:c r="A45" s="2" t="str">
        <x:v>P03.01.01</x:v>
      </x:c>
      <x:c r="B45" s="2" t="str">
        <x:v>P03</x:v>
      </x:c>
      <x:c r="C45" s="8" t="str">
        <x:v>P03.01 Structured intake</x:v>
      </x:c>
      <x:c r="D45" s="8" t="str">
        <x:v>Verify allowed Vertex model and extraction schema</x:v>
      </x:c>
      <x:c r="E45" s="8" t="str">
        <x:v>AI engineer</x:v>
      </x:c>
      <x:c r="F45" s="8" t="str">
        <x:v>Not started</x:v>
      </x:c>
      <x:c r="G45" s="4" t="b">
        <x:v>0</x:v>
      </x:c>
      <x:c r="H45" s="2" t="str">
        <x:f>IF(COUNTIFS($A$6:$A$161,A45)&lt;&gt;1,"Duplicate ID",IF(O45&lt;&gt;"Ready","Dependency open",IF(G45=TRUE,IF(AND(F45="Complete",I45&lt;&gt;"",J45&lt;&gt;"",K45&lt;&gt;""),"Verified","Evidence required"),IF(F45="Complete","Check completion",IF(F45="Blocked","Blocked",IF(F45="In progress","In progress",IF(F45="In review","In review","Open")))))))</x:f>
        <x:v>Dependency open</x:v>
      </x:c>
      <x:c r="I45" s="2" t="str"/>
      <x:c r="J45" s="2" t="str"/>
      <x:c r="K45" s="2" t="str"/>
      <x:c r="L45" s="2" t="str">
        <x:v>P02.90.01</x:v>
      </x:c>
      <x:c r="M45" s="2" t="str"/>
      <x:c r="N45" s="2" t="str"/>
      <x:c r="O45" s="2" t="str">
        <x:f>IF(AND(OR(L45="",_xlfn.IFNA(VLOOKUP(L45,$A$6:$H$44,8,FALSE),"Missing")="Verified"),OR(M45="",_xlfn.IFNA(VLOOKUP(M45,$A$6:$H$44,8,FALSE),"Missing")="Verified"),OR(N45="",_xlfn.IFNA(VLOOKUP(N45,$A$6:$H$44,8,FALSE),"Missing")="Verified")),"Ready","Dependency open")</x:f>
        <x:v>Dependency open</x:v>
      </x:c>
      <x:c r="P45" s="8" t="str">
        <x:v>Actual model ID/region recorded; parse output constrained</x:v>
      </x:c>
      <x:c r="Q45" s="8" t="str">
        <x:v>Model access and schema evidence</x:v>
      </x:c>
      <x:c r="R45" s="9"/>
      <x:c r="S45" s="9" t="n">
        <x:v>6000</x:v>
      </x:c>
      <x:c r="T45" s="2" t="str">
        <x:v>J-H01 / REQ-ACT-01</x:v>
      </x:c>
      <x:c r="U45" s="8" t="str">
        <x:v>Proposed work; implementation not authorized by this documentation request.</x:v>
      </x:c>
      <x:c r="V45" s="2" t="str">
        <x:v>Demo</x:v>
      </x:c>
    </x:row>
    <x:row r="46" ht="60" customHeight="1">
      <x:c r="A46" s="2" t="str">
        <x:v>P03.01.02</x:v>
      </x:c>
      <x:c r="B46" s="2" t="str">
        <x:v>P03</x:v>
      </x:c>
      <x:c r="C46" s="8" t="str">
        <x:v>P03.01 Structured intake</x:v>
      </x:c>
      <x:c r="D46" s="8" t="str">
        <x:v>Implement text intake and optional image upload</x:v>
      </x:c>
      <x:c r="E46" s="8" t="str">
        <x:v>AI engineer</x:v>
      </x:c>
      <x:c r="F46" s="8" t="str">
        <x:v>Not started</x:v>
      </x:c>
      <x:c r="G46" s="4" t="b">
        <x:v>0</x:v>
      </x:c>
      <x:c r="H46" s="2" t="str">
        <x:f>IF(COUNTIFS($A$6:$A$161,A46)&lt;&gt;1,"Duplicate ID",IF(O46&lt;&gt;"Ready","Dependency open",IF(G46=TRUE,IF(AND(F46="Complete",I46&lt;&gt;"",J46&lt;&gt;"",K46&lt;&gt;""),"Verified","Evidence required"),IF(F46="Complete","Check completion",IF(F46="Blocked","Blocked",IF(F46="In progress","In progress",IF(F46="In review","In review","Open")))))))</x:f>
        <x:v>Dependency open</x:v>
      </x:c>
      <x:c r="I46" s="2" t="str"/>
      <x:c r="J46" s="2" t="str"/>
      <x:c r="K46" s="2" t="str"/>
      <x:c r="L46" s="2" t="str">
        <x:v>P03.01.01</x:v>
      </x:c>
      <x:c r="M46" s="2" t="str"/>
      <x:c r="N46" s="2" t="str"/>
      <x:c r="O46" s="2" t="str">
        <x:f>IF(AND(OR(L46="",_xlfn.IFNA(VLOOKUP(L46,$A$6:$H$45,8,FALSE),"Missing")="Verified"),OR(M46="",_xlfn.IFNA(VLOOKUP(M46,$A$6:$H$45,8,FALSE),"Missing")="Verified"),OR(N46="",_xlfn.IFNA(VLOOKUP(N46,$A$6:$H$45,8,FALSE),"Missing")="Verified")),"Ready","Dependency open")</x:f>
        <x:v>Dependency open</x:v>
      </x:c>
      <x:c r="P46" s="8" t="str">
        <x:v>Content type/size/consent validated; optional modality can be cut</x:v>
      </x:c>
      <x:c r="Q46" s="8" t="str">
        <x:v>Upload/input evidence</x:v>
      </x:c>
      <x:c r="R46" s="9"/>
      <x:c r="S46" s="9" t="n">
        <x:v>6000</x:v>
      </x:c>
      <x:c r="T46" s="2" t="str">
        <x:v>J-H01 / REQ-ACT-01</x:v>
      </x:c>
      <x:c r="U46" s="8" t="str">
        <x:v>Proposed work; implementation not authorized by this documentation request.</x:v>
      </x:c>
      <x:c r="V46" s="2" t="str">
        <x:v>Demo</x:v>
      </x:c>
    </x:row>
    <x:row r="47" ht="60" customHeight="1">
      <x:c r="A47" s="2" t="str">
        <x:v>P03.01.03</x:v>
      </x:c>
      <x:c r="B47" s="2" t="str">
        <x:v>P03</x:v>
      </x:c>
      <x:c r="C47" s="8" t="str">
        <x:v>P03.01 Structured intake</x:v>
      </x:c>
      <x:c r="D47" s="8" t="str">
        <x:v>Enforce candidate isolation and uncertainty</x:v>
      </x:c>
      <x:c r="E47" s="8" t="str">
        <x:v>AI engineer</x:v>
      </x:c>
      <x:c r="F47" s="8" t="str">
        <x:v>Not started</x:v>
      </x:c>
      <x:c r="G47" s="4" t="b">
        <x:v>0</x:v>
      </x:c>
      <x:c r="H47" s="2" t="str">
        <x:f>IF(COUNTIFS($A$6:$A$161,A47)&lt;&gt;1,"Duplicate ID",IF(O47&lt;&gt;"Ready","Dependency open",IF(G47=TRUE,IF(AND(F47="Complete",I47&lt;&gt;"",J47&lt;&gt;"",K47&lt;&gt;""),"Verified","Evidence required"),IF(F47="Complete","Check completion",IF(F47="Blocked","Blocked",IF(F47="In progress","In progress",IF(F47="In review","In review","Open")))))))</x:f>
        <x:v>Dependency open</x:v>
      </x:c>
      <x:c r="I47" s="2" t="str"/>
      <x:c r="J47" s="2" t="str"/>
      <x:c r="K47" s="2" t="str"/>
      <x:c r="L47" s="2" t="str">
        <x:v>P03.01.02</x:v>
      </x:c>
      <x:c r="M47" s="2" t="str"/>
      <x:c r="N47" s="2" t="str"/>
      <x:c r="O47" s="2" t="str">
        <x:f>IF(AND(OR(L47="",_xlfn.IFNA(VLOOKUP(L47,$A$6:$H$46,8,FALSE),"Missing")="Verified"),OR(M47="",_xlfn.IFNA(VLOOKUP(M47,$A$6:$H$46,8,FALSE),"Missing")="Verified"),OR(N47="",_xlfn.IFNA(VLOOKUP(N47,$A$6:$H$46,8,FALSE),"Missing")="Verified")),"Ready","Dependency open")</x:f>
        <x:v>Dependency open</x:v>
      </x:c>
      <x:c r="P47" s="8" t="str">
        <x:v>AI output never writes canonical facts; missing values remain unknown</x:v>
      </x:c>
      <x:c r="Q47" s="8" t="str">
        <x:v>Isolation evidence</x:v>
      </x:c>
      <x:c r="R47" s="9"/>
      <x:c r="S47" s="9" t="n">
        <x:v>6000</x:v>
      </x:c>
      <x:c r="T47" s="2" t="str">
        <x:v>J-H01 / REQ-ACT-01</x:v>
      </x:c>
      <x:c r="U47" s="8" t="str">
        <x:v>Proposed work; implementation not authorized by this documentation request.</x:v>
      </x:c>
      <x:c r="V47" s="2" t="str">
        <x:v>Demo</x:v>
      </x:c>
    </x:row>
    <x:row r="48" ht="60" customHeight="1">
      <x:c r="A48" s="2" t="str">
        <x:v>P03.01.04</x:v>
      </x:c>
      <x:c r="B48" s="2" t="str">
        <x:v>P03</x:v>
      </x:c>
      <x:c r="C48" s="8" t="str">
        <x:v>P03.01 Structured intake</x:v>
      </x:c>
      <x:c r="D48" s="8" t="str">
        <x:v>Verify injection and malformed-output fallback</x:v>
      </x:c>
      <x:c r="E48" s="8" t="str">
        <x:v>AI engineer</x:v>
      </x:c>
      <x:c r="F48" s="8" t="str">
        <x:v>Not started</x:v>
      </x:c>
      <x:c r="G48" s="4" t="b">
        <x:v>0</x:v>
      </x:c>
      <x:c r="H48" s="2" t="str">
        <x:f>IF(COUNTIFS($A$6:$A$161,A48)&lt;&gt;1,"Duplicate ID",IF(O48&lt;&gt;"Ready","Dependency open",IF(G48=TRUE,IF(AND(F48="Complete",I48&lt;&gt;"",J48&lt;&gt;"",K48&lt;&gt;""),"Verified","Evidence required"),IF(F48="Complete","Check completion",IF(F48="Blocked","Blocked",IF(F48="In progress","In progress",IF(F48="In review","In review","Open")))))))</x:f>
        <x:v>Dependency open</x:v>
      </x:c>
      <x:c r="I48" s="2" t="str"/>
      <x:c r="J48" s="2" t="str"/>
      <x:c r="K48" s="2" t="str"/>
      <x:c r="L48" s="2" t="str">
        <x:v>P03.01.03</x:v>
      </x:c>
      <x:c r="M48" s="2" t="str"/>
      <x:c r="N48" s="2" t="str"/>
      <x:c r="O48" s="2" t="str">
        <x:f>IF(AND(OR(L48="",_xlfn.IFNA(VLOOKUP(L48,$A$6:$H$47,8,FALSE),"Missing")="Verified"),OR(M48="",_xlfn.IFNA(VLOOKUP(M48,$A$6:$H$47,8,FALSE),"Missing")="Verified"),OR(N48="",_xlfn.IFNA(VLOOKUP(N48,$A$6:$H$47,8,FALSE),"Missing")="Verified")),"Ready","Dependency open")</x:f>
        <x:v>Dependency open</x:v>
      </x:c>
      <x:c r="P48" s="8" t="str">
        <x:v>Receipt instructions ignored; bounded retry then human correction</x:v>
      </x:c>
      <x:c r="Q48" s="8" t="str">
        <x:v>Extraction adversarial results</x:v>
      </x:c>
      <x:c r="R48" s="9"/>
      <x:c r="S48" s="9" t="n">
        <x:v>6000</x:v>
      </x:c>
      <x:c r="T48" s="2" t="str">
        <x:v>J-H01 / REQ-ACT-01</x:v>
      </x:c>
      <x:c r="U48" s="8" t="str">
        <x:v>Proposed work; implementation not authorized by this documentation request.</x:v>
      </x:c>
      <x:c r="V48" s="2" t="str">
        <x:v>Demo</x:v>
      </x:c>
    </x:row>
    <x:row r="49" ht="60" customHeight="1">
      <x:c r="A49" s="2" t="str">
        <x:v>P03.02.01</x:v>
      </x:c>
      <x:c r="B49" s="2" t="str">
        <x:v>P03</x:v>
      </x:c>
      <x:c r="C49" s="8" t="str">
        <x:v>P03.02 Agent orchestration</x:v>
      </x:c>
      <x:c r="D49" s="8" t="str">
        <x:v>Define minimal allowlisted tool contracts</x:v>
      </x:c>
      <x:c r="E49" s="8" t="str">
        <x:v>AI engineer</x:v>
      </x:c>
      <x:c r="F49" s="8" t="str">
        <x:v>Not started</x:v>
      </x:c>
      <x:c r="G49" s="4" t="b">
        <x:v>0</x:v>
      </x:c>
      <x:c r="H49" s="2" t="str">
        <x:f>IF(COUNTIFS($A$6:$A$161,A49)&lt;&gt;1,"Duplicate ID",IF(O49&lt;&gt;"Ready","Dependency open",IF(G49=TRUE,IF(AND(F49="Complete",I49&lt;&gt;"",J49&lt;&gt;"",K49&lt;&gt;""),"Verified","Evidence required"),IF(F49="Complete","Check completion",IF(F49="Blocked","Blocked",IF(F49="In progress","In progress",IF(F49="In review","In review","Open")))))))</x:f>
        <x:v>Dependency open</x:v>
      </x:c>
      <x:c r="I49" s="2" t="str"/>
      <x:c r="J49" s="2" t="str"/>
      <x:c r="K49" s="2" t="str"/>
      <x:c r="L49" s="2" t="str">
        <x:v>P02.90.01</x:v>
      </x:c>
      <x:c r="M49" s="2" t="str"/>
      <x:c r="N49" s="2" t="str"/>
      <x:c r="O49" s="2" t="str">
        <x:f>IF(AND(OR(L49="",_xlfn.IFNA(VLOOKUP(L49,$A$6:$H$48,8,FALSE),"Missing")="Verified"),OR(M49="",_xlfn.IFNA(VLOOKUP(M49,$A$6:$H$48,8,FALSE),"Missing")="Verified"),OR(N49="",_xlfn.IFNA(VLOOKUP(N49,$A$6:$H$48,8,FALSE),"Missing")="Verified")),"Ready","Dependency open")</x:f>
        <x:v>Dependency open</x:v>
      </x:c>
      <x:c r="P49" s="8" t="str">
        <x:v>Tools receive scoped resource IDs and checked permissions</x:v>
      </x:c>
      <x:c r="Q49" s="8" t="str">
        <x:v>Tool registry review</x:v>
      </x:c>
      <x:c r="R49" s="9"/>
      <x:c r="S49" s="9" t="n">
        <x:v>6000</x:v>
      </x:c>
      <x:c r="T49" s="2" t="str">
        <x:v>J-H01 / REQ-ACT-01</x:v>
      </x:c>
      <x:c r="U49" s="8" t="str">
        <x:v>Proposed work; implementation not authorized by this documentation request.</x:v>
      </x:c>
      <x:c r="V49" s="2" t="str">
        <x:v>Demo</x:v>
      </x:c>
    </x:row>
    <x:row r="50" ht="60" customHeight="1">
      <x:c r="A50" s="2" t="str">
        <x:v>P03.02.02</x:v>
      </x:c>
      <x:c r="B50" s="2" t="str">
        <x:v>P03</x:v>
      </x:c>
      <x:c r="C50" s="8" t="str">
        <x:v>P03.02 Agent orchestration</x:v>
      </x:c>
      <x:c r="D50" s="8" t="str">
        <x:v>Implement bounded orchestrator run</x:v>
      </x:c>
      <x:c r="E50" s="8" t="str">
        <x:v>AI engineer</x:v>
      </x:c>
      <x:c r="F50" s="8" t="str">
        <x:v>Not started</x:v>
      </x:c>
      <x:c r="G50" s="4" t="b">
        <x:v>0</x:v>
      </x:c>
      <x:c r="H50" s="2" t="str">
        <x:f>IF(COUNTIFS($A$6:$A$161,A50)&lt;&gt;1,"Duplicate ID",IF(O50&lt;&gt;"Ready","Dependency open",IF(G50=TRUE,IF(AND(F50="Complete",I50&lt;&gt;"",J50&lt;&gt;"",K50&lt;&gt;""),"Verified","Evidence required"),IF(F50="Complete","Check completion",IF(F50="Blocked","Blocked",IF(F50="In progress","In progress",IF(F50="In review","In review","Open")))))))</x:f>
        <x:v>Dependency open</x:v>
      </x:c>
      <x:c r="I50" s="2" t="str"/>
      <x:c r="J50" s="2" t="str"/>
      <x:c r="K50" s="2" t="str"/>
      <x:c r="L50" s="2" t="str">
        <x:v>P03.02.01</x:v>
      </x:c>
      <x:c r="M50" s="2" t="str"/>
      <x:c r="N50" s="2" t="str"/>
      <x:c r="O50" s="2" t="str">
        <x:f>IF(AND(OR(L50="",_xlfn.IFNA(VLOOKUP(L50,$A$6:$H$49,8,FALSE),"Missing")="Verified"),OR(M50="",_xlfn.IFNA(VLOOKUP(M50,$A$6:$H$49,8,FALSE),"Missing")="Verified"),OR(N50="",_xlfn.IFNA(VLOOKUP(N50,$A$6:$H$49,8,FALSE),"Missing")="Verified")),"Ready","Dependency open")</x:f>
        <x:v>Dependency open</x:v>
      </x:c>
      <x:c r="P50" s="8" t="str">
        <x:v>Maximum turns/cost/deadline; no self-authorized execution</x:v>
      </x:c>
      <x:c r="Q50" s="8" t="str">
        <x:v>Trace with termination evidence</x:v>
      </x:c>
      <x:c r="R50" s="9"/>
      <x:c r="S50" s="9" t="n">
        <x:v>6000</x:v>
      </x:c>
      <x:c r="T50" s="2" t="str">
        <x:v>J-H01 / REQ-ACT-01</x:v>
      </x:c>
      <x:c r="U50" s="8" t="str">
        <x:v>Proposed work; implementation not authorized by this documentation request.</x:v>
      </x:c>
      <x:c r="V50" s="2" t="str">
        <x:v>Demo</x:v>
      </x:c>
    </x:row>
    <x:row r="51" ht="60" customHeight="1">
      <x:c r="A51" s="2" t="str">
        <x:v>P03.02.03</x:v>
      </x:c>
      <x:c r="B51" s="2" t="str">
        <x:v>P03</x:v>
      </x:c>
      <x:c r="C51" s="8" t="str">
        <x:v>P03.02 Agent orchestration</x:v>
      </x:c>
      <x:c r="D51" s="8" t="str">
        <x:v>Bind approval to versioned proposal</x:v>
      </x:c>
      <x:c r="E51" s="8" t="str">
        <x:v>AI engineer</x:v>
      </x:c>
      <x:c r="F51" s="8" t="str">
        <x:v>Not started</x:v>
      </x:c>
      <x:c r="G51" s="4" t="b">
        <x:v>0</x:v>
      </x:c>
      <x:c r="H51" s="2" t="str">
        <x:f>IF(COUNTIFS($A$6:$A$161,A51)&lt;&gt;1,"Duplicate ID",IF(O51&lt;&gt;"Ready","Dependency open",IF(G51=TRUE,IF(AND(F51="Complete",I51&lt;&gt;"",J51&lt;&gt;"",K51&lt;&gt;""),"Verified","Evidence required"),IF(F51="Complete","Check completion",IF(F51="Blocked","Blocked",IF(F51="In progress","In progress",IF(F51="In review","In review","Open")))))))</x:f>
        <x:v>Dependency open</x:v>
      </x:c>
      <x:c r="I51" s="2" t="str"/>
      <x:c r="J51" s="2" t="str"/>
      <x:c r="K51" s="2" t="str"/>
      <x:c r="L51" s="2" t="str">
        <x:v>P03.02.02</x:v>
      </x:c>
      <x:c r="M51" s="2" t="str"/>
      <x:c r="N51" s="2" t="str"/>
      <x:c r="O51" s="2" t="str">
        <x:f>IF(AND(OR(L51="",_xlfn.IFNA(VLOOKUP(L51,$A$6:$H$50,8,FALSE),"Missing")="Verified"),OR(M51="",_xlfn.IFNA(VLOOKUP(M51,$A$6:$H$50,8,FALSE),"Missing")="Verified"),OR(N51="",_xlfn.IFNA(VLOOKUP(N51,$A$6:$H$50,8,FALSE),"Missing")="Verified")),"Ready","Dependency open")</x:f>
        <x:v>Dependency open</x:v>
      </x:c>
      <x:c r="P51" s="8" t="str">
        <x:v>Expiry, current membership, hash and facts rechecked on approval</x:v>
      </x:c>
      <x:c r="Q51" s="8" t="str">
        <x:v>Stale/revoked approval evidence</x:v>
      </x:c>
      <x:c r="R51" s="9"/>
      <x:c r="S51" s="9" t="n">
        <x:v>6000</x:v>
      </x:c>
      <x:c r="T51" s="2" t="str">
        <x:v>J-H01 / REQ-ACT-01</x:v>
      </x:c>
      <x:c r="U51" s="8" t="str">
        <x:v>Proposed work; implementation not authorized by this documentation request.</x:v>
      </x:c>
      <x:c r="V51" s="2" t="str">
        <x:v>Demo</x:v>
      </x:c>
    </x:row>
    <x:row r="52" ht="60" customHeight="1">
      <x:c r="A52" s="2" t="str">
        <x:v>P03.02.04</x:v>
      </x:c>
      <x:c r="B52" s="2" t="str">
        <x:v>P03</x:v>
      </x:c>
      <x:c r="C52" s="8" t="str">
        <x:v>P03.02 Agent orchestration</x:v>
      </x:c>
      <x:c r="D52" s="8" t="str">
        <x:v>Make approval retries idempotent</x:v>
      </x:c>
      <x:c r="E52" s="8" t="str">
        <x:v>AI engineer</x:v>
      </x:c>
      <x:c r="F52" s="8" t="str">
        <x:v>Not started</x:v>
      </x:c>
      <x:c r="G52" s="4" t="b">
        <x:v>0</x:v>
      </x:c>
      <x:c r="H52" s="2" t="str">
        <x:f>IF(COUNTIFS($A$6:$A$161,A52)&lt;&gt;1,"Duplicate ID",IF(O52&lt;&gt;"Ready","Dependency open",IF(G52=TRUE,IF(AND(F52="Complete",I52&lt;&gt;"",J52&lt;&gt;"",K52&lt;&gt;""),"Verified","Evidence required"),IF(F52="Complete","Check completion",IF(F52="Blocked","Blocked",IF(F52="In progress","In progress",IF(F52="In review","In review","Open")))))))</x:f>
        <x:v>Dependency open</x:v>
      </x:c>
      <x:c r="I52" s="2" t="str"/>
      <x:c r="J52" s="2" t="str"/>
      <x:c r="K52" s="2" t="str"/>
      <x:c r="L52" s="2" t="str">
        <x:v>P03.02.03</x:v>
      </x:c>
      <x:c r="M52" s="2" t="str"/>
      <x:c r="N52" s="2" t="str"/>
      <x:c r="O52" s="2" t="str">
        <x:f>IF(AND(OR(L52="",_xlfn.IFNA(VLOOKUP(L52,$A$6:$H$51,8,FALSE),"Missing")="Verified"),OR(M52="",_xlfn.IFNA(VLOOKUP(M52,$A$6:$H$51,8,FALSE),"Missing")="Verified"),OR(N52="",_xlfn.IFNA(VLOOKUP(N52,$A$6:$H$51,8,FALSE),"Missing")="Verified")),"Ready","Dependency open")</x:f>
        <x:v>Dependency open</x:v>
      </x:c>
      <x:c r="P52" s="8" t="str">
        <x:v>Duplicate concurrent request yields one simulated execution</x:v>
      </x:c>
      <x:c r="Q52" s="8" t="str">
        <x:v>Concurrency run evidence</x:v>
      </x:c>
      <x:c r="R52" s="9"/>
      <x:c r="S52" s="9" t="n">
        <x:v>6000</x:v>
      </x:c>
      <x:c r="T52" s="2" t="str">
        <x:v>J-H01 / REQ-ACT-01</x:v>
      </x:c>
      <x:c r="U52" s="8" t="str">
        <x:v>Proposed work; implementation not authorized by this documentation request.</x:v>
      </x:c>
      <x:c r="V52" s="2" t="str">
        <x:v>Demo</x:v>
      </x:c>
    </x:row>
    <x:row r="53" ht="60" customHeight="1">
      <x:c r="A53" s="2" t="str">
        <x:v>P03.03.01</x:v>
      </x:c>
      <x:c r="B53" s="2" t="str">
        <x:v>P03</x:v>
      </x:c>
      <x:c r="C53" s="8" t="str">
        <x:v>P03.03 Golden flow integration</x:v>
      </x:c>
      <x:c r="D53" s="8" t="str">
        <x:v>Connect text to review to changed meal</x:v>
      </x:c>
      <x:c r="E53" s="8" t="str">
        <x:v>Fullstack engineer</x:v>
      </x:c>
      <x:c r="F53" s="8" t="str">
        <x:v>Not started</x:v>
      </x:c>
      <x:c r="G53" s="4" t="b">
        <x:v>0</x:v>
      </x:c>
      <x:c r="H53" s="2" t="str">
        <x:f>IF(COUNTIFS($A$6:$A$161,A53)&lt;&gt;1,"Duplicate ID",IF(O53&lt;&gt;"Ready","Dependency open",IF(G53=TRUE,IF(AND(F53="Complete",I53&lt;&gt;"",J53&lt;&gt;"",K53&lt;&gt;""),"Verified","Evidence required"),IF(F53="Complete","Check completion",IF(F53="Blocked","Blocked",IF(F53="In progress","In progress",IF(F53="In review","In review","Open")))))))</x:f>
        <x:v>Dependency open</x:v>
      </x:c>
      <x:c r="I53" s="2" t="str"/>
      <x:c r="J53" s="2" t="str"/>
      <x:c r="K53" s="2" t="str"/>
      <x:c r="L53" s="2" t="str">
        <x:v>P02.90.01</x:v>
      </x:c>
      <x:c r="M53" s="2" t="str"/>
      <x:c r="N53" s="2" t="str"/>
      <x:c r="O53" s="2" t="str">
        <x:f>IF(AND(OR(L53="",_xlfn.IFNA(VLOOKUP(L53,$A$6:$H$52,8,FALSE),"Missing")="Verified"),OR(M53="",_xlfn.IFNA(VLOOKUP(M53,$A$6:$H$52,8,FALSE),"Missing")="Verified"),OR(N53="",_xlfn.IFNA(VLOOKUP(N53,$A$6:$H$52,8,FALSE),"Missing")="Verified")),"Ready","Dependency open")</x:f>
        <x:v>Dependency open</x:v>
      </x:c>
      <x:c r="P53" s="8" t="str">
        <x:v>Real Gemini response goes through explicit human confirmation</x:v>
      </x:c>
      <x:c r="Q53" s="8" t="str">
        <x:v>J-H01 trace</x:v>
      </x:c>
      <x:c r="R53" s="9"/>
      <x:c r="S53" s="9" t="n">
        <x:v>6000</x:v>
      </x:c>
      <x:c r="T53" s="2" t="str">
        <x:v>J-H01 / REQ-ACT-01</x:v>
      </x:c>
      <x:c r="U53" s="8" t="str">
        <x:v>Proposed work; implementation not authorized by this documentation request.</x:v>
      </x:c>
      <x:c r="V53" s="2" t="str">
        <x:v>Demo</x:v>
      </x:c>
    </x:row>
    <x:row r="54" ht="60" customHeight="1">
      <x:c r="A54" s="2" t="str">
        <x:v>P03.03.02</x:v>
      </x:c>
      <x:c r="B54" s="2" t="str">
        <x:v>P03</x:v>
      </x:c>
      <x:c r="C54" s="8" t="str">
        <x:v>P03.03 Golden flow integration</x:v>
      </x:c>
      <x:c r="D54" s="8" t="str">
        <x:v>Connect proposal to mock action to evidence</x:v>
      </x:c>
      <x:c r="E54" s="8" t="str">
        <x:v>Fullstack engineer</x:v>
      </x:c>
      <x:c r="F54" s="8" t="str">
        <x:v>Not started</x:v>
      </x:c>
      <x:c r="G54" s="4" t="b">
        <x:v>0</x:v>
      </x:c>
      <x:c r="H54" s="2" t="str">
        <x:f>IF(COUNTIFS($A$6:$A$161,A54)&lt;&gt;1,"Duplicate ID",IF(O54&lt;&gt;"Ready","Dependency open",IF(G54=TRUE,IF(AND(F54="Complete",I54&lt;&gt;"",J54&lt;&gt;"",K54&lt;&gt;""),"Verified","Evidence required"),IF(F54="Complete","Check completion",IF(F54="Blocked","Blocked",IF(F54="In progress","In progress",IF(F54="In review","In review","Open")))))))</x:f>
        <x:v>Dependency open</x:v>
      </x:c>
      <x:c r="I54" s="2" t="str"/>
      <x:c r="J54" s="2" t="str"/>
      <x:c r="K54" s="2" t="str"/>
      <x:c r="L54" s="2" t="str">
        <x:v>P03.03.01</x:v>
      </x:c>
      <x:c r="M54" s="2" t="str"/>
      <x:c r="N54" s="2" t="str"/>
      <x:c r="O54" s="2" t="str">
        <x:f>IF(AND(OR(L54="",_xlfn.IFNA(VLOOKUP(L54,$A$6:$H$53,8,FALSE),"Missing")="Verified"),OR(M54="",_xlfn.IFNA(VLOOKUP(M54,$A$6:$H$53,8,FALSE),"Missing")="Verified"),OR(N54="",_xlfn.IFNA(VLOOKUP(N54,$A$6:$H$53,8,FALSE),"Missing")="Verified")),"Ready","Dependency open")</x:f>
        <x:v>Dependency open</x:v>
      </x:c>
      <x:c r="P54" s="8" t="str">
        <x:v>No real checkout or dispatch; visible simulated outcome</x:v>
      </x:c>
      <x:c r="Q54" s="8" t="str">
        <x:v>J-H01 full-flow recording</x:v>
      </x:c>
      <x:c r="R54" s="9"/>
      <x:c r="S54" s="9" t="n">
        <x:v>6000</x:v>
      </x:c>
      <x:c r="T54" s="2" t="str">
        <x:v>J-H01 / REQ-ACT-01</x:v>
      </x:c>
      <x:c r="U54" s="8" t="str">
        <x:v>Proposed work; implementation not authorized by this documentation request.</x:v>
      </x:c>
      <x:c r="V54" s="2" t="str">
        <x:v>Demo</x:v>
      </x:c>
    </x:row>
    <x:row r="55" ht="60" customHeight="1">
      <x:c r="A55" s="2" t="str">
        <x:v>P03.03.03</x:v>
      </x:c>
      <x:c r="B55" s="2" t="str">
        <x:v>P03</x:v>
      </x:c>
      <x:c r="C55" s="8" t="str">
        <x:v>P03.03 Golden flow integration</x:v>
      </x:c>
      <x:c r="D55" s="8" t="str">
        <x:v>Handle connectivity and cancellation</x:v>
      </x:c>
      <x:c r="E55" s="8" t="str">
        <x:v>Fullstack engineer</x:v>
      </x:c>
      <x:c r="F55" s="8" t="str">
        <x:v>Not started</x:v>
      </x:c>
      <x:c r="G55" s="4" t="b">
        <x:v>0</x:v>
      </x:c>
      <x:c r="H55" s="2" t="str">
        <x:f>IF(COUNTIFS($A$6:$A$161,A55)&lt;&gt;1,"Duplicate ID",IF(O55&lt;&gt;"Ready","Dependency open",IF(G55=TRUE,IF(AND(F55="Complete",I55&lt;&gt;"",J55&lt;&gt;"",K55&lt;&gt;""),"Verified","Evidence required"),IF(F55="Complete","Check completion",IF(F55="Blocked","Blocked",IF(F55="In progress","In progress",IF(F55="In review","In review","Open")))))))</x:f>
        <x:v>Dependency open</x:v>
      </x:c>
      <x:c r="I55" s="2" t="str"/>
      <x:c r="J55" s="2" t="str"/>
      <x:c r="K55" s="2" t="str"/>
      <x:c r="L55" s="2" t="str">
        <x:v>P03.03.02</x:v>
      </x:c>
      <x:c r="M55" s="2" t="str"/>
      <x:c r="N55" s="2" t="str"/>
      <x:c r="O55" s="2" t="str">
        <x:f>IF(AND(OR(L55="",_xlfn.IFNA(VLOOKUP(L55,$A$6:$H$54,8,FALSE),"Missing")="Verified"),OR(M55="",_xlfn.IFNA(VLOOKUP(M55,$A$6:$H$54,8,FALSE),"Missing")="Verified"),OR(N55="",_xlfn.IFNA(VLOOKUP(N55,$A$6:$H$54,8,FALSE),"Missing")="Verified")),"Ready","Dependency open")</x:f>
        <x:v>Dependency open</x:v>
      </x:c>
      <x:c r="P55" s="8" t="str">
        <x:v>Resume from persisted state; ambiguous action state reconciled</x:v>
      </x:c>
      <x:c r="Q55" s="8" t="str">
        <x:v>Recovery-flow evidence</x:v>
      </x:c>
      <x:c r="R55" s="9"/>
      <x:c r="S55" s="9" t="n">
        <x:v>6000</x:v>
      </x:c>
      <x:c r="T55" s="2" t="str">
        <x:v>J-H01 / REQ-ACT-01</x:v>
      </x:c>
      <x:c r="U55" s="8" t="str">
        <x:v>Proposed work; implementation not authorized by this documentation request.</x:v>
      </x:c>
      <x:c r="V55" s="2" t="str">
        <x:v>Demo</x:v>
      </x:c>
    </x:row>
    <x:row r="56" ht="60" customHeight="1">
      <x:c r="A56" s="2" t="str">
        <x:v>P03.03.04</x:v>
      </x:c>
      <x:c r="B56" s="2" t="str">
        <x:v>P03</x:v>
      </x:c>
      <x:c r="C56" s="8" t="str">
        <x:v>P03.03 Golden flow integration</x:v>
      </x:c>
      <x:c r="D56" s="8" t="str">
        <x:v>Compare against rules and plain Gemini</x:v>
      </x:c>
      <x:c r="E56" s="8" t="str">
        <x:v>Fullstack engineer</x:v>
      </x:c>
      <x:c r="F56" s="8" t="str">
        <x:v>Not started</x:v>
      </x:c>
      <x:c r="G56" s="4" t="b">
        <x:v>0</x:v>
      </x:c>
      <x:c r="H56" s="2" t="str">
        <x:f>IF(COUNTIFS($A$6:$A$161,A56)&lt;&gt;1,"Duplicate ID",IF(O56&lt;&gt;"Ready","Dependency open",IF(G56=TRUE,IF(AND(F56="Complete",I56&lt;&gt;"",J56&lt;&gt;"",K56&lt;&gt;""),"Verified","Evidence required"),IF(F56="Complete","Check completion",IF(F56="Blocked","Blocked",IF(F56="In progress","In progress",IF(F56="In review","In review","Open")))))))</x:f>
        <x:v>Dependency open</x:v>
      </x:c>
      <x:c r="I56" s="2" t="str"/>
      <x:c r="J56" s="2" t="str"/>
      <x:c r="K56" s="2" t="str"/>
      <x:c r="L56" s="2" t="str">
        <x:v>P03.03.03</x:v>
      </x:c>
      <x:c r="M56" s="2" t="str"/>
      <x:c r="N56" s="2" t="str"/>
      <x:c r="O56" s="2" t="str">
        <x:f>IF(AND(OR(L56="",_xlfn.IFNA(VLOOKUP(L56,$A$6:$H$55,8,FALSE),"Missing")="Verified"),OR(M56="",_xlfn.IFNA(VLOOKUP(M56,$A$6:$H$55,8,FALSE),"Missing")="Verified"),OR(N56="",_xlfn.IFNA(VLOOKUP(N56,$A$6:$H$55,8,FALSE),"Missing")="Verified")),"Ready","Dependency open")</x:f>
        <x:v>Dependency open</x:v>
      </x:c>
      <x:c r="P56" s="8" t="str">
        <x:v>Correctness/unsafe actions/latency/effort reported with run IDs</x:v>
      </x:c>
      <x:c r="Q56" s="8" t="str">
        <x:v>Paired benchmark results</x:v>
      </x:c>
      <x:c r="R56" s="9"/>
      <x:c r="S56" s="9" t="n">
        <x:v>6000</x:v>
      </x:c>
      <x:c r="T56" s="2" t="str">
        <x:v>J-H01 / REQ-ACT-01</x:v>
      </x:c>
      <x:c r="U56" s="8" t="str">
        <x:v>Proposed work; implementation not authorized by this documentation request.</x:v>
      </x:c>
      <x:c r="V56" s="2" t="str">
        <x:v>Demo</x:v>
      </x:c>
    </x:row>
    <x:row r="57" ht="60" customHeight="1">
      <x:c r="A57" s="2" t="str">
        <x:v>P03.90.01</x:v>
      </x:c>
      <x:c r="B57" s="2" t="str">
        <x:v>P03</x:v>
      </x:c>
      <x:c r="C57" s="8" t="str">
        <x:v>P03.90 Phase gate</x:v>
      </x:c>
      <x:c r="D57" s="8" t="str">
        <x:v>Review and accept gemini intake and single-orchestrator household journey</x:v>
      </x:c>
      <x:c r="E57" s="8" t="str">
        <x:v>Product owner + independent reviewer</x:v>
      </x:c>
      <x:c r="F57" s="8" t="str">
        <x:v>Not started</x:v>
      </x:c>
      <x:c r="G57" s="4" t="b">
        <x:v>0</x:v>
      </x:c>
      <x:c r="H57" s="2" t="str">
        <x:f>IF(COUNTIFS($A$6:$A$161,A57)&lt;&gt;1,"Duplicate ID",IF(O57&lt;&gt;"Ready","Dependency open",IF(G57=TRUE,IF(AND(F57="Complete",I57&lt;&gt;"",J57&lt;&gt;"",K57&lt;&gt;""),"Verified","Evidence required"),IF(F57="Complete","Check completion",IF(F57="Blocked","Blocked",IF(F57="In progress","In progress",IF(F57="In review","In review","Open")))))))</x:f>
        <x:v>Dependency open</x:v>
      </x:c>
      <x:c r="I57" s="2" t="str"/>
      <x:c r="J57" s="2" t="str"/>
      <x:c r="K57" s="2" t="str"/>
      <x:c r="L57" s="2" t="str">
        <x:v>P03.01.04</x:v>
      </x:c>
      <x:c r="M57" s="2" t="str">
        <x:v>P03.02.04</x:v>
      </x:c>
      <x:c r="N57" s="2" t="str">
        <x:v>P03.03.04</x:v>
      </x:c>
      <x:c r="O57" s="2" t="str">
        <x:f>IF(AND(OR(L57="",_xlfn.IFNA(VLOOKUP(L57,$A$6:$H$56,8,FALSE),"Missing")="Verified"),OR(M57="",_xlfn.IFNA(VLOOKUP(M57,$A$6:$H$56,8,FALSE),"Missing")="Verified"),OR(N57="",_xlfn.IFNA(VLOOKUP(N57,$A$6:$H$56,8,FALSE),"Missing")="Verified")),"Ready","Dependency open")</x:f>
        <x:v>Dependency open</x:v>
      </x:c>
      <x:c r="P57" s="8" t="str">
        <x:v>All prerequisites verified; critical risks closed or explicitly rejected for rollout; human records go/revise/stop decision.</x:v>
      </x:c>
      <x:c r="Q57" s="8" t="str">
        <x:v>Phase gate record with reviewer, evidence links, residual risks and next scope</x:v>
      </x:c>
      <x:c r="R57" s="9"/>
      <x:c r="S57" s="9" t="n">
        <x:v>4000</x:v>
      </x:c>
      <x:c r="T57" s="2" t="str">
        <x:v>P03-GATE</x:v>
      </x:c>
      <x:c r="U57" s="8" t="str">
        <x:v>Unchecked until phase evidence is reviewed. A written plan is not implementation evidence.</x:v>
      </x:c>
      <x:c r="V57" s="2" t="str">
        <x:v>Demo</x:v>
      </x:c>
    </x:row>
    <x:row r="58" ht="60" customHeight="1">
      <x:c r="A58" s="2" t="str">
        <x:v>P04.01.01</x:v>
      </x:c>
      <x:c r="B58" s="2" t="str">
        <x:v>P04</x:v>
      </x:c>
      <x:c r="C58" s="8" t="str">
        <x:v>P04.01 Deploy core</x:v>
      </x:c>
      <x:c r="D58" s="8" t="str">
        <x:v>Prepare App Hosting and Cloud Run manifests</x:v>
      </x:c>
      <x:c r="E58" s="8" t="str">
        <x:v>Platform engineer</x:v>
      </x:c>
      <x:c r="F58" s="8" t="str">
        <x:v>Not started</x:v>
      </x:c>
      <x:c r="G58" s="4" t="b">
        <x:v>0</x:v>
      </x:c>
      <x:c r="H58" s="2" t="str">
        <x:f>IF(COUNTIFS($A$6:$A$161,A58)&lt;&gt;1,"Duplicate ID",IF(O58&lt;&gt;"Ready","Dependency open",IF(G58=TRUE,IF(AND(F58="Complete",I58&lt;&gt;"",J58&lt;&gt;"",K58&lt;&gt;""),"Verified","Evidence required"),IF(F58="Complete","Check completion",IF(F58="Blocked","Blocked",IF(F58="In progress","In progress",IF(F58="In review","In review","Open")))))))</x:f>
        <x:v>Dependency open</x:v>
      </x:c>
      <x:c r="I58" s="2" t="str"/>
      <x:c r="J58" s="2" t="str"/>
      <x:c r="K58" s="2" t="str"/>
      <x:c r="L58" s="2" t="str">
        <x:v>P03.90.01</x:v>
      </x:c>
      <x:c r="M58" s="2" t="str"/>
      <x:c r="N58" s="2" t="str"/>
      <x:c r="O58" s="2" t="str">
        <x:f>IF(AND(OR(L58="",_xlfn.IFNA(VLOOKUP(L58,$A$6:$H$57,8,FALSE),"Missing")="Verified"),OR(M58="",_xlfn.IFNA(VLOOKUP(M58,$A$6:$H$57,8,FALSE),"Missing")="Verified"),OR(N58="",_xlfn.IFNA(VLOOKUP(N58,$A$6:$H$57,8,FALSE),"Missing")="Verified")),"Ready","Dependency open")</x:f>
        <x:v>Dependency open</x:v>
      </x:c>
      <x:c r="P58" s="8" t="str">
        <x:v>Pinned runtime, secrets references and service identities reviewed</x:v>
      </x:c>
      <x:c r="Q58" s="8" t="str">
        <x:v>Deployment config review</x:v>
      </x:c>
      <x:c r="R58" s="9"/>
      <x:c r="S58" s="9" t="n">
        <x:v>6000</x:v>
      </x:c>
      <x:c r="T58" s="2" t="str">
        <x:v>REQ-DEPLOY-01</x:v>
      </x:c>
      <x:c r="U58" s="8" t="str">
        <x:v>Proposed work; implementation not authorized by this documentation request.</x:v>
      </x:c>
      <x:c r="V58" s="2" t="str">
        <x:v>Demo</x:v>
      </x:c>
    </x:row>
    <x:row r="59" ht="60" customHeight="1">
      <x:c r="A59" s="2" t="str">
        <x:v>P04.01.02</x:v>
      </x:c>
      <x:c r="B59" s="2" t="str">
        <x:v>P04</x:v>
      </x:c>
      <x:c r="C59" s="8" t="str">
        <x:v>P04.01 Deploy core</x:v>
      </x:c>
      <x:c r="D59" s="8" t="str">
        <x:v>Deploy isolated demo environment</x:v>
      </x:c>
      <x:c r="E59" s="8" t="str">
        <x:v>Platform engineer</x:v>
      </x:c>
      <x:c r="F59" s="8" t="str">
        <x:v>Not started</x:v>
      </x:c>
      <x:c r="G59" s="4" t="b">
        <x:v>0</x:v>
      </x:c>
      <x:c r="H59" s="2" t="str">
        <x:f>IF(COUNTIFS($A$6:$A$161,A59)&lt;&gt;1,"Duplicate ID",IF(O59&lt;&gt;"Ready","Dependency open",IF(G59=TRUE,IF(AND(F59="Complete",I59&lt;&gt;"",J59&lt;&gt;"",K59&lt;&gt;""),"Verified","Evidence required"),IF(F59="Complete","Check completion",IF(F59="Blocked","Blocked",IF(F59="In progress","In progress",IF(F59="In review","In review","Open")))))))</x:f>
        <x:v>Dependency open</x:v>
      </x:c>
      <x:c r="I59" s="2" t="str"/>
      <x:c r="J59" s="2" t="str"/>
      <x:c r="K59" s="2" t="str"/>
      <x:c r="L59" s="2" t="str">
        <x:v>P04.01.01</x:v>
      </x:c>
      <x:c r="M59" s="2" t="str"/>
      <x:c r="N59" s="2" t="str"/>
      <x:c r="O59" s="2" t="str">
        <x:f>IF(AND(OR(L59="",_xlfn.IFNA(VLOOKUP(L59,$A$6:$H$58,8,FALSE),"Missing")="Verified"),OR(M59="",_xlfn.IFNA(VLOOKUP(M59,$A$6:$H$58,8,FALSE),"Missing")="Verified"),OR(N59="",_xlfn.IFNA(VLOOKUP(N59,$A$6:$H$58,8,FALSE),"Missing")="Verified")),"Ready","Dependency open")</x:f>
        <x:v>Dependency open</x:v>
      </x:c>
      <x:c r="P59" s="8" t="str">
        <x:v>Public app URL and secured backend reachable; no real private data</x:v>
      </x:c>
      <x:c r="Q59" s="8" t="str">
        <x:v>Deployment URLs and revision IDs</x:v>
      </x:c>
      <x:c r="R59" s="9"/>
      <x:c r="S59" s="9" t="n">
        <x:v>6000</x:v>
      </x:c>
      <x:c r="T59" s="2" t="str">
        <x:v>REQ-DEPLOY-01</x:v>
      </x:c>
      <x:c r="U59" s="8" t="str">
        <x:v>Proposed work; implementation not authorized by this documentation request.</x:v>
      </x:c>
      <x:c r="V59" s="2" t="str">
        <x:v>Demo</x:v>
      </x:c>
    </x:row>
    <x:row r="60" ht="60" customHeight="1">
      <x:c r="A60" s="2" t="str">
        <x:v>P04.01.03</x:v>
      </x:c>
      <x:c r="B60" s="2" t="str">
        <x:v>P04</x:v>
      </x:c>
      <x:c r="C60" s="8" t="str">
        <x:v>P04.01 Deploy core</x:v>
      </x:c>
      <x:c r="D60" s="8" t="str">
        <x:v>Verify cross-service authentication and health</x:v>
      </x:c>
      <x:c r="E60" s="8" t="str">
        <x:v>Platform engineer</x:v>
      </x:c>
      <x:c r="F60" s="8" t="str">
        <x:v>Not started</x:v>
      </x:c>
      <x:c r="G60" s="4" t="b">
        <x:v>0</x:v>
      </x:c>
      <x:c r="H60" s="2" t="str">
        <x:f>IF(COUNTIFS($A$6:$A$161,A60)&lt;&gt;1,"Duplicate ID",IF(O60&lt;&gt;"Ready","Dependency open",IF(G60=TRUE,IF(AND(F60="Complete",I60&lt;&gt;"",J60&lt;&gt;"",K60&lt;&gt;""),"Verified","Evidence required"),IF(F60="Complete","Check completion",IF(F60="Blocked","Blocked",IF(F60="In progress","In progress",IF(F60="In review","In review","Open")))))))</x:f>
        <x:v>Dependency open</x:v>
      </x:c>
      <x:c r="I60" s="2" t="str"/>
      <x:c r="J60" s="2" t="str"/>
      <x:c r="K60" s="2" t="str"/>
      <x:c r="L60" s="2" t="str">
        <x:v>P04.01.02</x:v>
      </x:c>
      <x:c r="M60" s="2" t="str"/>
      <x:c r="N60" s="2" t="str"/>
      <x:c r="O60" s="2" t="str">
        <x:f>IF(AND(OR(L60="",_xlfn.IFNA(VLOOKUP(L60,$A$6:$H$59,8,FALSE),"Missing")="Verified"),OR(M60="",_xlfn.IFNA(VLOOKUP(M60,$A$6:$H$59,8,FALSE),"Missing")="Verified"),OR(N60="",_xlfn.IFNA(VLOOKUP(N60,$A$6:$H$59,8,FALSE),"Missing")="Verified")),"Ready","Dependency open")</x:f>
        <x:v>Dependency open</x:v>
      </x:c>
      <x:c r="P60" s="8" t="str">
        <x:v>Anonymous mutation and foreign tenant access fail on deployed system</x:v>
      </x:c>
      <x:c r="Q60" s="8" t="str">
        <x:v>Deployed negative checks</x:v>
      </x:c>
      <x:c r="R60" s="9"/>
      <x:c r="S60" s="9" t="n">
        <x:v>6000</x:v>
      </x:c>
      <x:c r="T60" s="2" t="str">
        <x:v>REQ-DEPLOY-01</x:v>
      </x:c>
      <x:c r="U60" s="8" t="str">
        <x:v>Proposed work; implementation not authorized by this documentation request.</x:v>
      </x:c>
      <x:c r="V60" s="2" t="str">
        <x:v>Demo</x:v>
      </x:c>
    </x:row>
    <x:row r="61" ht="60" customHeight="1">
      <x:c r="A61" s="2" t="str">
        <x:v>P04.01.04</x:v>
      </x:c>
      <x:c r="B61" s="2" t="str">
        <x:v>P04</x:v>
      </x:c>
      <x:c r="C61" s="8" t="str">
        <x:v>P04.01 Deploy core</x:v>
      </x:c>
      <x:c r="D61" s="8" t="str">
        <x:v>Prove rollback and degraded mode</x:v>
      </x:c>
      <x:c r="E61" s="8" t="str">
        <x:v>Platform engineer</x:v>
      </x:c>
      <x:c r="F61" s="8" t="str">
        <x:v>Not started</x:v>
      </x:c>
      <x:c r="G61" s="4" t="b">
        <x:v>0</x:v>
      </x:c>
      <x:c r="H61" s="2" t="str">
        <x:f>IF(COUNTIFS($A$6:$A$161,A61)&lt;&gt;1,"Duplicate ID",IF(O61&lt;&gt;"Ready","Dependency open",IF(G61=TRUE,IF(AND(F61="Complete",I61&lt;&gt;"",J61&lt;&gt;"",K61&lt;&gt;""),"Verified","Evidence required"),IF(F61="Complete","Check completion",IF(F61="Blocked","Blocked",IF(F61="In progress","In progress",IF(F61="In review","In review","Open")))))))</x:f>
        <x:v>Dependency open</x:v>
      </x:c>
      <x:c r="I61" s="2" t="str"/>
      <x:c r="J61" s="2" t="str"/>
      <x:c r="K61" s="2" t="str"/>
      <x:c r="L61" s="2" t="str">
        <x:v>P04.01.03</x:v>
      </x:c>
      <x:c r="M61" s="2" t="str"/>
      <x:c r="N61" s="2" t="str"/>
      <x:c r="O61" s="2" t="str">
        <x:f>IF(AND(OR(L61="",_xlfn.IFNA(VLOOKUP(L61,$A$6:$H$60,8,FALSE),"Missing")="Verified"),OR(M61="",_xlfn.IFNA(VLOOKUP(M61,$A$6:$H$60,8,FALSE),"Missing")="Verified"),OR(N61="",_xlfn.IFNA(VLOOKUP(N61,$A$6:$H$60,8,FALSE),"Missing")="Verified")),"Ready","Dependency open")</x:f>
        <x:v>Dependency open</x:v>
      </x:c>
      <x:c r="P61" s="8" t="str">
        <x:v>Prior revision recoverable; model outage visibly handled</x:v>
      </x:c>
      <x:c r="Q61" s="8" t="str">
        <x:v>Rollback/degraded evidence</x:v>
      </x:c>
      <x:c r="R61" s="9"/>
      <x:c r="S61" s="9" t="n">
        <x:v>6000</x:v>
      </x:c>
      <x:c r="T61" s="2" t="str">
        <x:v>REQ-DEPLOY-01</x:v>
      </x:c>
      <x:c r="U61" s="8" t="str">
        <x:v>Proposed work; implementation not authorized by this documentation request.</x:v>
      </x:c>
      <x:c r="V61" s="2" t="str">
        <x:v>Demo</x:v>
      </x:c>
    </x:row>
    <x:row r="62" ht="60" customHeight="1">
      <x:c r="A62" s="2" t="str">
        <x:v>P04.02.01</x:v>
      </x:c>
      <x:c r="B62" s="2" t="str">
        <x:v>P04</x:v>
      </x:c>
      <x:c r="C62" s="8" t="str">
        <x:v>P04.02 Release checks</x:v>
      </x:c>
      <x:c r="D62" s="8" t="str">
        <x:v>Verify end-to-end mobile flow</x:v>
      </x:c>
      <x:c r="E62" s="8" t="str">
        <x:v>Evaluation reviewer</x:v>
      </x:c>
      <x:c r="F62" s="8" t="str">
        <x:v>Not started</x:v>
      </x:c>
      <x:c r="G62" s="4" t="b">
        <x:v>0</x:v>
      </x:c>
      <x:c r="H62" s="2" t="str">
        <x:f>IF(COUNTIFS($A$6:$A$161,A62)&lt;&gt;1,"Duplicate ID",IF(O62&lt;&gt;"Ready","Dependency open",IF(G62=TRUE,IF(AND(F62="Complete",I62&lt;&gt;"",J62&lt;&gt;"",K62&lt;&gt;""),"Verified","Evidence required"),IF(F62="Complete","Check completion",IF(F62="Blocked","Blocked",IF(F62="In progress","In progress",IF(F62="In review","In review","Open")))))))</x:f>
        <x:v>Dependency open</x:v>
      </x:c>
      <x:c r="I62" s="2" t="str"/>
      <x:c r="J62" s="2" t="str"/>
      <x:c r="K62" s="2" t="str"/>
      <x:c r="L62" s="2" t="str">
        <x:v>P03.90.01</x:v>
      </x:c>
      <x:c r="M62" s="2" t="str"/>
      <x:c r="N62" s="2" t="str"/>
      <x:c r="O62" s="2" t="str">
        <x:f>IF(AND(OR(L62="",_xlfn.IFNA(VLOOKUP(L62,$A$6:$H$61,8,FALSE),"Missing")="Verified"),OR(M62="",_xlfn.IFNA(VLOOKUP(M62,$A$6:$H$61,8,FALSE),"Missing")="Verified"),OR(N62="",_xlfn.IFNA(VLOOKUP(N62,$A$6:$H$61,8,FALSE),"Missing")="Verified")),"Ready","Dependency open")</x:f>
        <x:v>Dependency open</x:v>
      </x:c>
      <x:c r="P62" s="8" t="str">
        <x:v>360px flow, keyboard focus, labels, 44px targets and all states reviewed</x:v>
      </x:c>
      <x:c r="Q62" s="8" t="str">
        <x:v>Browser evidence</x:v>
      </x:c>
      <x:c r="R62" s="9"/>
      <x:c r="S62" s="9" t="n">
        <x:v>6000</x:v>
      </x:c>
      <x:c r="T62" s="2" t="str">
        <x:v>REQ-DEPLOY-01</x:v>
      </x:c>
      <x:c r="U62" s="8" t="str">
        <x:v>Proposed work; implementation not authorized by this documentation request.</x:v>
      </x:c>
      <x:c r="V62" s="2" t="str">
        <x:v>Demo</x:v>
      </x:c>
    </x:row>
    <x:row r="63" ht="60" customHeight="1">
      <x:c r="A63" s="2" t="str">
        <x:v>P04.02.02</x:v>
      </x:c>
      <x:c r="B63" s="2" t="str">
        <x:v>P04</x:v>
      </x:c>
      <x:c r="C63" s="8" t="str">
        <x:v>P04.02 Release checks</x:v>
      </x:c>
      <x:c r="D63" s="8" t="str">
        <x:v>Record actual performance and cost</x:v>
      </x:c>
      <x:c r="E63" s="8" t="str">
        <x:v>Evaluation reviewer</x:v>
      </x:c>
      <x:c r="F63" s="8" t="str">
        <x:v>Not started</x:v>
      </x:c>
      <x:c r="G63" s="4" t="b">
        <x:v>0</x:v>
      </x:c>
      <x:c r="H63" s="2" t="str">
        <x:f>IF(COUNTIFS($A$6:$A$161,A63)&lt;&gt;1,"Duplicate ID",IF(O63&lt;&gt;"Ready","Dependency open",IF(G63=TRUE,IF(AND(F63="Complete",I63&lt;&gt;"",J63&lt;&gt;"",K63&lt;&gt;""),"Verified","Evidence required"),IF(F63="Complete","Check completion",IF(F63="Blocked","Blocked",IF(F63="In progress","In progress",IF(F63="In review","In review","Open")))))))</x:f>
        <x:v>Dependency open</x:v>
      </x:c>
      <x:c r="I63" s="2" t="str"/>
      <x:c r="J63" s="2" t="str"/>
      <x:c r="K63" s="2" t="str"/>
      <x:c r="L63" s="2" t="str">
        <x:v>P04.02.01</x:v>
      </x:c>
      <x:c r="M63" s="2" t="str"/>
      <x:c r="N63" s="2" t="str"/>
      <x:c r="O63" s="2" t="str">
        <x:f>IF(AND(OR(L63="",_xlfn.IFNA(VLOOKUP(L63,$A$6:$H$62,8,FALSE),"Missing")="Verified"),OR(M63="",_xlfn.IFNA(VLOOKUP(M63,$A$6:$H$62,8,FALSE),"Missing")="Verified"),OR(N63="",_xlfn.IFNA(VLOOKUP(N63,$A$6:$H$62,8,FALSE),"Missing")="Verified")),"Ready","Dependency open")</x:f>
        <x:v>Dependency open</x:v>
      </x:c>
      <x:c r="P63" s="8" t="str">
        <x:v>P50/P95, model tokens, errors and cold-start caveat measured</x:v>
      </x:c>
      <x:c r="Q63" s="8" t="str">
        <x:v>Run-specific metrics</x:v>
      </x:c>
      <x:c r="R63" s="9"/>
      <x:c r="S63" s="9" t="n">
        <x:v>6000</x:v>
      </x:c>
      <x:c r="T63" s="2" t="str">
        <x:v>REQ-DEPLOY-01</x:v>
      </x:c>
      <x:c r="U63" s="8" t="str">
        <x:v>Proposed work; implementation not authorized by this documentation request.</x:v>
      </x:c>
      <x:c r="V63" s="2" t="str">
        <x:v>Demo</x:v>
      </x:c>
    </x:row>
    <x:row r="64" ht="60" customHeight="1">
      <x:c r="A64" s="2" t="str">
        <x:v>P04.02.03</x:v>
      </x:c>
      <x:c r="B64" s="2" t="str">
        <x:v>P04</x:v>
      </x:c>
      <x:c r="C64" s="8" t="str">
        <x:v>P04.02 Release checks</x:v>
      </x:c>
      <x:c r="D64" s="8" t="str">
        <x:v>Audit public repo and demo claims</x:v>
      </x:c>
      <x:c r="E64" s="8" t="str">
        <x:v>Evaluation reviewer</x:v>
      </x:c>
      <x:c r="F64" s="8" t="str">
        <x:v>Not started</x:v>
      </x:c>
      <x:c r="G64" s="4" t="b">
        <x:v>0</x:v>
      </x:c>
      <x:c r="H64" s="2" t="str">
        <x:f>IF(COUNTIFS($A$6:$A$161,A64)&lt;&gt;1,"Duplicate ID",IF(O64&lt;&gt;"Ready","Dependency open",IF(G64=TRUE,IF(AND(F64="Complete",I64&lt;&gt;"",J64&lt;&gt;"",K64&lt;&gt;""),"Verified","Evidence required"),IF(F64="Complete","Check completion",IF(F64="Blocked","Blocked",IF(F64="In progress","In progress",IF(F64="In review","In review","Open")))))))</x:f>
        <x:v>Dependency open</x:v>
      </x:c>
      <x:c r="I64" s="2" t="str"/>
      <x:c r="J64" s="2" t="str"/>
      <x:c r="K64" s="2" t="str"/>
      <x:c r="L64" s="2" t="str">
        <x:v>P04.02.02</x:v>
      </x:c>
      <x:c r="M64" s="2" t="str"/>
      <x:c r="N64" s="2" t="str"/>
      <x:c r="O64" s="2" t="str">
        <x:f>IF(AND(OR(L64="",_xlfn.IFNA(VLOOKUP(L64,$A$6:$H$63,8,FALSE),"Missing")="Verified"),OR(M64="",_xlfn.IFNA(VLOOKUP(M64,$A$6:$H$63,8,FALSE),"Missing")="Verified"),OR(N64="",_xlfn.IFNA(VLOOKUP(N64,$A$6:$H$63,8,FALSE),"Missing")="Verified")),"Ready","Dependency open")</x:f>
        <x:v>Dependency open</x:v>
      </x:c>
      <x:c r="P64" s="8" t="str">
        <x:v>Secrets, real data, unsupported impact and third-party rights reviewed</x:v>
      </x:c>
      <x:c r="Q64" s="8" t="str">
        <x:v>Release review record</x:v>
      </x:c>
      <x:c r="R64" s="9"/>
      <x:c r="S64" s="9" t="n">
        <x:v>6000</x:v>
      </x:c>
      <x:c r="T64" s="2" t="str">
        <x:v>REQ-DEPLOY-01</x:v>
      </x:c>
      <x:c r="U64" s="8" t="str">
        <x:v>Proposed work; implementation not authorized by this documentation request.</x:v>
      </x:c>
      <x:c r="V64" s="2" t="str">
        <x:v>Demo</x:v>
      </x:c>
    </x:row>
    <x:row r="65" ht="60" customHeight="1">
      <x:c r="A65" s="2" t="str">
        <x:v>P04.02.04</x:v>
      </x:c>
      <x:c r="B65" s="2" t="str">
        <x:v>P04</x:v>
      </x:c>
      <x:c r="C65" s="8" t="str">
        <x:v>P04.02 Release checks</x:v>
      </x:c>
      <x:c r="D65" s="8" t="str">
        <x:v>Review all critical failures</x:v>
      </x:c>
      <x:c r="E65" s="8" t="str">
        <x:v>Evaluation reviewer</x:v>
      </x:c>
      <x:c r="F65" s="8" t="str">
        <x:v>Not started</x:v>
      </x:c>
      <x:c r="G65" s="4" t="b">
        <x:v>0</x:v>
      </x:c>
      <x:c r="H65" s="2" t="str">
        <x:f>IF(COUNTIFS($A$6:$A$161,A65)&lt;&gt;1,"Duplicate ID",IF(O65&lt;&gt;"Ready","Dependency open",IF(G65=TRUE,IF(AND(F65="Complete",I65&lt;&gt;"",J65&lt;&gt;"",K65&lt;&gt;""),"Verified","Evidence required"),IF(F65="Complete","Check completion",IF(F65="Blocked","Blocked",IF(F65="In progress","In progress",IF(F65="In review","In review","Open")))))))</x:f>
        <x:v>Dependency open</x:v>
      </x:c>
      <x:c r="I65" s="2" t="str"/>
      <x:c r="J65" s="2" t="str"/>
      <x:c r="K65" s="2" t="str"/>
      <x:c r="L65" s="2" t="str">
        <x:v>P04.02.03</x:v>
      </x:c>
      <x:c r="M65" s="2" t="str"/>
      <x:c r="N65" s="2" t="str"/>
      <x:c r="O65" s="2" t="str">
        <x:f>IF(AND(OR(L65="",_xlfn.IFNA(VLOOKUP(L65,$A$6:$H$64,8,FALSE),"Missing")="Verified"),OR(M65="",_xlfn.IFNA(VLOOKUP(M65,$A$6:$H$64,8,FALSE),"Missing")="Verified"),OR(N65="",_xlfn.IFNA(VLOOKUP(N65,$A$6:$H$64,8,FALSE),"Missing")="Verified")),"Ready","Dependency open")</x:f>
        <x:v>Dependency open</x:v>
      </x:c>
      <x:c r="P65" s="8" t="str">
        <x:v>No unowned critical auth/safety/data-loss failure accepted</x:v>
      </x:c>
      <x:c r="Q65" s="8" t="str">
        <x:v>Critical issue disposition</x:v>
      </x:c>
      <x:c r="R65" s="9"/>
      <x:c r="S65" s="9" t="n">
        <x:v>6000</x:v>
      </x:c>
      <x:c r="T65" s="2" t="str">
        <x:v>REQ-DEPLOY-01</x:v>
      </x:c>
      <x:c r="U65" s="8" t="str">
        <x:v>Proposed work; implementation not authorized by this documentation request.</x:v>
      </x:c>
      <x:c r="V65" s="2" t="str">
        <x:v>Demo</x:v>
      </x:c>
    </x:row>
    <x:row r="66" ht="60" customHeight="1">
      <x:c r="A66" s="2" t="str">
        <x:v>P04.03.01</x:v>
      </x:c>
      <x:c r="B66" s="2" t="str">
        <x:v>P04</x:v>
      </x:c>
      <x:c r="C66" s="8" t="str">
        <x:v>P04.03 Submission assets</x:v>
      </x:c>
      <x:c r="D66" s="8" t="str">
        <x:v>Prepare final proposal document and deck content</x:v>
      </x:c>
      <x:c r="E66" s="8" t="str">
        <x:v>Product owner</x:v>
      </x:c>
      <x:c r="F66" s="8" t="str">
        <x:v>Not started</x:v>
      </x:c>
      <x:c r="G66" s="4" t="b">
        <x:v>0</x:v>
      </x:c>
      <x:c r="H66" s="2" t="str">
        <x:f>IF(COUNTIFS($A$6:$A$161,A66)&lt;&gt;1,"Duplicate ID",IF(O66&lt;&gt;"Ready","Dependency open",IF(G66=TRUE,IF(AND(F66="Complete",I66&lt;&gt;"",J66&lt;&gt;"",K66&lt;&gt;""),"Verified","Evidence required"),IF(F66="Complete","Check completion",IF(F66="Blocked","Blocked",IF(F66="In progress","In progress",IF(F66="In review","In review","Open")))))))</x:f>
        <x:v>Dependency open</x:v>
      </x:c>
      <x:c r="I66" s="2" t="str"/>
      <x:c r="J66" s="2" t="str"/>
      <x:c r="K66" s="2" t="str"/>
      <x:c r="L66" s="2" t="str">
        <x:v>P03.90.01</x:v>
      </x:c>
      <x:c r="M66" s="2" t="str"/>
      <x:c r="N66" s="2" t="str"/>
      <x:c r="O66" s="2" t="str">
        <x:f>IF(AND(OR(L66="",_xlfn.IFNA(VLOOKUP(L66,$A$6:$H$65,8,FALSE),"Missing")="Verified"),OR(M66="",_xlfn.IFNA(VLOOKUP(M66,$A$6:$H$65,8,FALSE),"Missing")="Verified"),OR(N66="",_xlfn.IFNA(VLOOKUP(N66,$A$6:$H$65,8,FALSE),"Missing")="Verified")),"Ready","Dependency open")</x:f>
        <x:v>Dependency open</x:v>
      </x:c>
      <x:c r="P66" s="8" t="str">
        <x:v>Problem, Google AI role, evidence and limitations align with working demo</x:v>
      </x:c>
      <x:c r="Q66" s="8" t="str">
        <x:v>Proposal/PDF artifact</x:v>
      </x:c>
      <x:c r="R66" s="9"/>
      <x:c r="S66" s="9" t="n">
        <x:v>6000</x:v>
      </x:c>
      <x:c r="T66" s="2" t="str">
        <x:v>REQ-DEPLOY-01</x:v>
      </x:c>
      <x:c r="U66" s="8" t="str">
        <x:v>Proposed work; implementation not authorized by this documentation request.</x:v>
      </x:c>
      <x:c r="V66" s="2" t="str">
        <x:v>Demo</x:v>
      </x:c>
    </x:row>
    <x:row r="67" ht="60" customHeight="1">
      <x:c r="A67" s="2" t="str">
        <x:v>P04.03.02</x:v>
      </x:c>
      <x:c r="B67" s="2" t="str">
        <x:v>P04</x:v>
      </x:c>
      <x:c r="C67" s="8" t="str">
        <x:v>P04.03 Submission assets</x:v>
      </x:c>
      <x:c r="D67" s="8" t="str">
        <x:v>Record strictly under-three-minute demo</x:v>
      </x:c>
      <x:c r="E67" s="8" t="str">
        <x:v>Product owner</x:v>
      </x:c>
      <x:c r="F67" s="8" t="str">
        <x:v>Not started</x:v>
      </x:c>
      <x:c r="G67" s="4" t="b">
        <x:v>0</x:v>
      </x:c>
      <x:c r="H67" s="2" t="str">
        <x:f>IF(COUNTIFS($A$6:$A$161,A67)&lt;&gt;1,"Duplicate ID",IF(O67&lt;&gt;"Ready","Dependency open",IF(G67=TRUE,IF(AND(F67="Complete",I67&lt;&gt;"",J67&lt;&gt;"",K67&lt;&gt;""),"Verified","Evidence required"),IF(F67="Complete","Check completion",IF(F67="Blocked","Blocked",IF(F67="In progress","In progress",IF(F67="In review","In review","Open")))))))</x:f>
        <x:v>Dependency open</x:v>
      </x:c>
      <x:c r="I67" s="2" t="str"/>
      <x:c r="J67" s="2" t="str"/>
      <x:c r="K67" s="2" t="str"/>
      <x:c r="L67" s="2" t="str">
        <x:v>P04.03.01</x:v>
      </x:c>
      <x:c r="M67" s="2" t="str"/>
      <x:c r="N67" s="2" t="str"/>
      <x:c r="O67" s="2" t="str">
        <x:f>IF(AND(OR(L67="",_xlfn.IFNA(VLOOKUP(L67,$A$6:$H$66,8,FALSE),"Missing")="Verified"),OR(M67="",_xlfn.IFNA(VLOOKUP(M67,$A$6:$H$66,8,FALSE),"Missing")="Verified"),OR(N67="",_xlfn.IFNA(VLOOKUP(N67,$A$6:$H$66,8,FALSE),"Missing")="Verified")),"Ready","Dependency open")</x:f>
        <x:v>Dependency open</x:v>
      </x:c>
      <x:c r="P67" s="8" t="str">
        <x:v>Public access checked; live behavior and simulations identified</x:v>
      </x:c>
      <x:c r="Q67" s="8" t="str">
        <x:v>Final video link/duration</x:v>
      </x:c>
      <x:c r="R67" s="9"/>
      <x:c r="S67" s="9" t="n">
        <x:v>6000</x:v>
      </x:c>
      <x:c r="T67" s="2" t="str">
        <x:v>REQ-DEPLOY-01</x:v>
      </x:c>
      <x:c r="U67" s="8" t="str">
        <x:v>Proposed work; implementation not authorized by this documentation request.</x:v>
      </x:c>
      <x:c r="V67" s="2" t="str">
        <x:v>Demo</x:v>
      </x:c>
    </x:row>
    <x:row r="68" ht="60" customHeight="1">
      <x:c r="A68" s="2" t="str">
        <x:v>P04.03.03</x:v>
      </x:c>
      <x:c r="B68" s="2" t="str">
        <x:v>P04</x:v>
      </x:c>
      <x:c r="C68" s="8" t="str">
        <x:v>P04.03 Submission assets</x:v>
      </x:c>
      <x:c r="D68" s="8" t="str">
        <x:v>Validate submission packet and eligibility</x:v>
      </x:c>
      <x:c r="E68" s="8" t="str">
        <x:v>Product owner</x:v>
      </x:c>
      <x:c r="F68" s="8" t="str">
        <x:v>Not started</x:v>
      </x:c>
      <x:c r="G68" s="4" t="b">
        <x:v>0</x:v>
      </x:c>
      <x:c r="H68" s="2" t="str">
        <x:f>IF(COUNTIFS($A$6:$A$161,A68)&lt;&gt;1,"Duplicate ID",IF(O68&lt;&gt;"Ready","Dependency open",IF(G68=TRUE,IF(AND(F68="Complete",I68&lt;&gt;"",J68&lt;&gt;"",K68&lt;&gt;""),"Verified","Evidence required"),IF(F68="Complete","Check completion",IF(F68="Blocked","Blocked",IF(F68="In progress","In progress",IF(F68="In review","In review","Open")))))))</x:f>
        <x:v>Dependency open</x:v>
      </x:c>
      <x:c r="I68" s="2" t="str"/>
      <x:c r="J68" s="2" t="str"/>
      <x:c r="K68" s="2" t="str"/>
      <x:c r="L68" s="2" t="str">
        <x:v>P04.03.02</x:v>
      </x:c>
      <x:c r="M68" s="2" t="str"/>
      <x:c r="N68" s="2" t="str"/>
      <x:c r="O68" s="2" t="str">
        <x:f>IF(AND(OR(L68="",_xlfn.IFNA(VLOOKUP(L68,$A$6:$H$67,8,FALSE),"Missing")="Verified"),OR(M68="",_xlfn.IFNA(VLOOKUP(M68,$A$6:$H$67,8,FALSE),"Missing")="Verified"),OR(N68="",_xlfn.IFNA(VLOOKUP(N68,$A$6:$H$67,8,FALSE),"Missing")="Verified")),"Ready","Dependency open")</x:f>
        <x:v>Dependency open</x:v>
      </x:c>
      <x:c r="P68" s="8" t="str">
        <x:v>Repository, URL, deck, video, track and roster checked against live terms</x:v>
      </x:c>
      <x:c r="Q68" s="8" t="str">
        <x:v>Submission checklist</x:v>
      </x:c>
      <x:c r="R68" s="9"/>
      <x:c r="S68" s="9" t="n">
        <x:v>6000</x:v>
      </x:c>
      <x:c r="T68" s="2" t="str">
        <x:v>REQ-DEPLOY-01</x:v>
      </x:c>
      <x:c r="U68" s="8" t="str">
        <x:v>Proposed work; implementation not authorized by this documentation request.</x:v>
      </x:c>
      <x:c r="V68" s="2" t="str">
        <x:v>Demo</x:v>
      </x:c>
    </x:row>
    <x:row r="69" ht="60" customHeight="1">
      <x:c r="A69" s="2" t="str">
        <x:v>P04.03.04</x:v>
      </x:c>
      <x:c r="B69" s="2" t="str">
        <x:v>P04</x:v>
      </x:c>
      <x:c r="C69" s="8" t="str">
        <x:v>P04.03 Submission assets</x:v>
      </x:c>
      <x:c r="D69" s="8" t="str">
        <x:v>Submit and retain receipt</x:v>
      </x:c>
      <x:c r="E69" s="8" t="str">
        <x:v>Product owner</x:v>
      </x:c>
      <x:c r="F69" s="8" t="str">
        <x:v>Not started</x:v>
      </x:c>
      <x:c r="G69" s="4" t="b">
        <x:v>0</x:v>
      </x:c>
      <x:c r="H69" s="2" t="str">
        <x:f>IF(COUNTIFS($A$6:$A$161,A69)&lt;&gt;1,"Duplicate ID",IF(O69&lt;&gt;"Ready","Dependency open",IF(G69=TRUE,IF(AND(F69="Complete",I69&lt;&gt;"",J69&lt;&gt;"",K69&lt;&gt;""),"Verified","Evidence required"),IF(F69="Complete","Check completion",IF(F69="Blocked","Blocked",IF(F69="In progress","In progress",IF(F69="In review","In review","Open")))))))</x:f>
        <x:v>Dependency open</x:v>
      </x:c>
      <x:c r="I69" s="2" t="str"/>
      <x:c r="J69" s="2" t="str"/>
      <x:c r="K69" s="2" t="str"/>
      <x:c r="L69" s="2" t="str">
        <x:v>P04.03.03</x:v>
      </x:c>
      <x:c r="M69" s="2" t="str"/>
      <x:c r="N69" s="2" t="str"/>
      <x:c r="O69" s="2" t="str">
        <x:f>IF(AND(OR(L69="",_xlfn.IFNA(VLOOKUP(L69,$A$6:$H$68,8,FALSE),"Missing")="Verified"),OR(M69="",_xlfn.IFNA(VLOOKUP(M69,$A$6:$H$68,8,FALSE),"Missing")="Verified"),OR(N69="",_xlfn.IFNA(VLOOKUP(N69,$A$6:$H$68,8,FALSE),"Missing")="Verified")),"Ready","Dependency open")</x:f>
        <x:v>Dependency open</x:v>
      </x:c>
      <x:c r="P69" s="8" t="str">
        <x:v>Authorized human submits before confirmed cutoff; receipt retained</x:v>
      </x:c>
      <x:c r="Q69" s="8" t="str">
        <x:v>Submission confirmation</x:v>
      </x:c>
      <x:c r="R69" s="9"/>
      <x:c r="S69" s="9" t="n">
        <x:v>6000</x:v>
      </x:c>
      <x:c r="T69" s="2" t="str">
        <x:v>REQ-DEPLOY-01</x:v>
      </x:c>
      <x:c r="U69" s="8" t="str">
        <x:v>Proposed work; implementation not authorized by this documentation request.</x:v>
      </x:c>
      <x:c r="V69" s="2" t="str">
        <x:v>Demo</x:v>
      </x:c>
    </x:row>
    <x:row r="70" ht="60" customHeight="1">
      <x:c r="A70" s="2" t="str">
        <x:v>P04.90.01</x:v>
      </x:c>
      <x:c r="B70" s="2" t="str">
        <x:v>P04</x:v>
      </x:c>
      <x:c r="C70" s="8" t="str">
        <x:v>P04.90 Phase gate</x:v>
      </x:c>
      <x:c r="D70" s="8" t="str">
        <x:v>Review and accept google deployment and submission readiness</x:v>
      </x:c>
      <x:c r="E70" s="8" t="str">
        <x:v>Product owner + independent reviewer</x:v>
      </x:c>
      <x:c r="F70" s="8" t="str">
        <x:v>Not started</x:v>
      </x:c>
      <x:c r="G70" s="4" t="b">
        <x:v>0</x:v>
      </x:c>
      <x:c r="H70" s="2" t="str">
        <x:f>IF(COUNTIFS($A$6:$A$161,A70)&lt;&gt;1,"Duplicate ID",IF(O70&lt;&gt;"Ready","Dependency open",IF(G70=TRUE,IF(AND(F70="Complete",I70&lt;&gt;"",J70&lt;&gt;"",K70&lt;&gt;""),"Verified","Evidence required"),IF(F70="Complete","Check completion",IF(F70="Blocked","Blocked",IF(F70="In progress","In progress",IF(F70="In review","In review","Open")))))))</x:f>
        <x:v>Dependency open</x:v>
      </x:c>
      <x:c r="I70" s="2" t="str"/>
      <x:c r="J70" s="2" t="str"/>
      <x:c r="K70" s="2" t="str"/>
      <x:c r="L70" s="2" t="str">
        <x:v>P04.01.04</x:v>
      </x:c>
      <x:c r="M70" s="2" t="str">
        <x:v>P04.02.04</x:v>
      </x:c>
      <x:c r="N70" s="2" t="str">
        <x:v>P04.03.04</x:v>
      </x:c>
      <x:c r="O70" s="2" t="str">
        <x:f>IF(AND(OR(L70="",_xlfn.IFNA(VLOOKUP(L70,$A$6:$H$69,8,FALSE),"Missing")="Verified"),OR(M70="",_xlfn.IFNA(VLOOKUP(M70,$A$6:$H$69,8,FALSE),"Missing")="Verified"),OR(N70="",_xlfn.IFNA(VLOOKUP(N70,$A$6:$H$69,8,FALSE),"Missing")="Verified")),"Ready","Dependency open")</x:f>
        <x:v>Dependency open</x:v>
      </x:c>
      <x:c r="P70" s="8" t="str">
        <x:v>All prerequisites verified; critical risks closed or explicitly rejected for rollout; human records go/revise/stop decision.</x:v>
      </x:c>
      <x:c r="Q70" s="8" t="str">
        <x:v>Phase gate record with reviewer, evidence links, residual risks and next scope</x:v>
      </x:c>
      <x:c r="R70" s="9"/>
      <x:c r="S70" s="9" t="n">
        <x:v>4000</x:v>
      </x:c>
      <x:c r="T70" s="2" t="str">
        <x:v>P04-GATE</x:v>
      </x:c>
      <x:c r="U70" s="8" t="str">
        <x:v>Unchecked until phase evidence is reviewed. A written plan is not implementation evidence.</x:v>
      </x:c>
      <x:c r="V70" s="2" t="str">
        <x:v>Demo</x:v>
      </x:c>
    </x:row>
    <x:row r="71" ht="60" customHeight="1">
      <x:c r="A71" s="2" t="str">
        <x:v>P05.01.01</x:v>
      </x:c>
      <x:c r="B71" s="2" t="str">
        <x:v>P05</x:v>
      </x:c>
      <x:c r="C71" s="8" t="str">
        <x:v>P05.01 Roster and preparation authority</x:v>
      </x:c>
      <x:c r="D71" s="8" t="str">
        <x:v>Map kitchen roles and source authority</x:v>
      </x:c>
      <x:c r="E71" s="8" t="str">
        <x:v>Product/backend team</x:v>
      </x:c>
      <x:c r="F71" s="8" t="str">
        <x:v>Not started</x:v>
      </x:c>
      <x:c r="G71" s="4" t="b">
        <x:v>0</x:v>
      </x:c>
      <x:c r="H71" s="2" t="str">
        <x:f>IF(COUNTIFS($A$6:$A$161,A71)&lt;&gt;1,"Duplicate ID",IF(O71&lt;&gt;"Ready","Dependency open",IF(G71=TRUE,IF(AND(F71="Complete",I71&lt;&gt;"",J71&lt;&gt;"",K71&lt;&gt;""),"Verified","Evidence required"),IF(F71="Complete","Check completion",IF(F71="Blocked","Blocked",IF(F71="In progress","In progress",IF(F71="In review","In review","Open")))))))</x:f>
        <x:v>Dependency open</x:v>
      </x:c>
      <x:c r="I71" s="2" t="str"/>
      <x:c r="J71" s="2" t="str"/>
      <x:c r="K71" s="2" t="str"/>
      <x:c r="L71" s="2" t="str">
        <x:v>P04.90.01</x:v>
      </x:c>
      <x:c r="M71" s="2" t="str"/>
      <x:c r="N71" s="2" t="str"/>
      <x:c r="O71" s="2" t="str">
        <x:f>IF(AND(OR(L71="",_xlfn.IFNA(VLOOKUP(L71,$A$6:$H$70,8,FALSE),"Missing")="Verified"),OR(M71="",_xlfn.IFNA(VLOOKUP(M71,$A$6:$H$70,8,FALSE),"Missing")="Verified"),OR(N71="",_xlfn.IFNA(VLOOKUP(N71,$A$6:$H$70,8,FALSE),"Missing")="Verified")),"Ready","Dependency open")</x:f>
        <x:v>Dependency open</x:v>
      </x:c>
      <x:c r="P71" s="8" t="str">
        <x:v>Headcount reporter cannot override chef/menu policy</x:v>
      </x:c>
      <x:c r="Q71" s="8" t="str">
        <x:v>J-K01 role map</x:v>
      </x:c>
      <x:c r="R71" s="9"/>
      <x:c r="S71" s="9" t="n">
        <x:v>6000</x:v>
      </x:c>
      <x:c r="T71" s="2" t="str">
        <x:v>J-K01</x:v>
      </x:c>
      <x:c r="U71" s="8" t="str">
        <x:v>Proposed work; implementation not authorized by this documentation request.</x:v>
      </x:c>
      <x:c r="V71" s="2" t="str">
        <x:v>Expansion</x:v>
      </x:c>
    </x:row>
    <x:row r="72" ht="60" customHeight="1">
      <x:c r="A72" s="2" t="str">
        <x:v>P05.01.02</x:v>
      </x:c>
      <x:c r="B72" s="2" t="str">
        <x:v>P05</x:v>
      </x:c>
      <x:c r="C72" s="8" t="str">
        <x:v>P05.01 Roster and preparation authority</x:v>
      </x:c>
      <x:c r="D72" s="8" t="str">
        <x:v>Model per-batch last reversible point</x:v>
      </x:c>
      <x:c r="E72" s="8" t="str">
        <x:v>Product/backend team</x:v>
      </x:c>
      <x:c r="F72" s="8" t="str">
        <x:v>Not started</x:v>
      </x:c>
      <x:c r="G72" s="4" t="b">
        <x:v>0</x:v>
      </x:c>
      <x:c r="H72" s="2" t="str">
        <x:f>IF(COUNTIFS($A$6:$A$161,A72)&lt;&gt;1,"Duplicate ID",IF(O72&lt;&gt;"Ready","Dependency open",IF(G72=TRUE,IF(AND(F72="Complete",I72&lt;&gt;"",J72&lt;&gt;"",K72&lt;&gt;""),"Verified","Evidence required"),IF(F72="Complete","Check completion",IF(F72="Blocked","Blocked",IF(F72="In progress","In progress",IF(F72="In review","In review","Open")))))))</x:f>
        <x:v>Dependency open</x:v>
      </x:c>
      <x:c r="I72" s="2" t="str"/>
      <x:c r="J72" s="2" t="str"/>
      <x:c r="K72" s="2" t="str"/>
      <x:c r="L72" s="2" t="str">
        <x:v>P05.01.01</x:v>
      </x:c>
      <x:c r="M72" s="2" t="str"/>
      <x:c r="N72" s="2" t="str"/>
      <x:c r="O72" s="2" t="str">
        <x:f>IF(AND(OR(L72="",_xlfn.IFNA(VLOOKUP(L72,$A$6:$H$71,8,FALSE),"Missing")="Verified"),OR(M72="",_xlfn.IFNA(VLOOKUP(M72,$A$6:$H$71,8,FALSE),"Missing")="Verified"),OR(N72="",_xlfn.IFNA(VLOOKUP(N72,$A$6:$H$71,8,FALSE),"Missing")="Verified")),"Ready","Dependency open")</x:f>
        <x:v>Dependency open</x:v>
      </x:c>
      <x:c r="P72" s="8" t="str">
        <x:v>Chef-specified timestamp/timezone/version; no universal 45-minute rule</x:v>
      </x:c>
      <x:c r="Q72" s="8" t="str">
        <x:v>Batch/cutoff contract</x:v>
      </x:c>
      <x:c r="R72" s="9"/>
      <x:c r="S72" s="9" t="n">
        <x:v>6000</x:v>
      </x:c>
      <x:c r="T72" s="2" t="str">
        <x:v>J-K01</x:v>
      </x:c>
      <x:c r="U72" s="8" t="str">
        <x:v>Proposed work; implementation not authorized by this documentation request.</x:v>
      </x:c>
      <x:c r="V72" s="2" t="str">
        <x:v>Expansion</x:v>
      </x:c>
    </x:row>
    <x:row r="73" ht="60" customHeight="1">
      <x:c r="A73" s="2" t="str">
        <x:v>P05.01.03</x:v>
      </x:c>
      <x:c r="B73" s="2" t="str">
        <x:v>P05</x:v>
      </x:c>
      <x:c r="C73" s="8" t="str">
        <x:v>P05.01 Roster and preparation authority</x:v>
      </x:c>
      <x:c r="D73" s="8" t="str">
        <x:v>Capture and confirm attendance exceptions</x:v>
      </x:c>
      <x:c r="E73" s="8" t="str">
        <x:v>Product/backend team</x:v>
      </x:c>
      <x:c r="F73" s="8" t="str">
        <x:v>Not started</x:v>
      </x:c>
      <x:c r="G73" s="4" t="b">
        <x:v>0</x:v>
      </x:c>
      <x:c r="H73" s="2" t="str">
        <x:f>IF(COUNTIFS($A$6:$A$161,A73)&lt;&gt;1,"Duplicate ID",IF(O73&lt;&gt;"Ready","Dependency open",IF(G73=TRUE,IF(AND(F73="Complete",I73&lt;&gt;"",J73&lt;&gt;"",K73&lt;&gt;""),"Verified","Evidence required"),IF(F73="Complete","Check completion",IF(F73="Blocked","Blocked",IF(F73="In progress","In progress",IF(F73="In review","In review","Open")))))))</x:f>
        <x:v>Dependency open</x:v>
      </x:c>
      <x:c r="I73" s="2" t="str"/>
      <x:c r="J73" s="2" t="str"/>
      <x:c r="K73" s="2" t="str"/>
      <x:c r="L73" s="2" t="str">
        <x:v>P05.01.02</x:v>
      </x:c>
      <x:c r="M73" s="2" t="str"/>
      <x:c r="N73" s="2" t="str"/>
      <x:c r="O73" s="2" t="str">
        <x:f>IF(AND(OR(L73="",_xlfn.IFNA(VLOOKUP(L73,$A$6:$H$72,8,FALSE),"Missing")="Verified"),OR(M73="",_xlfn.IFNA(VLOOKUP(M73,$A$6:$H$72,8,FALSE),"Missing")="Verified"),OR(N73="",_xlfn.IFNA(VLOOKUP(N73,$A$6:$H$72,8,FALSE),"Missing")="Verified")),"Ready","Dependency open")</x:f>
        <x:v>Dependency open</x:v>
      </x:c>
      <x:c r="P73" s="8" t="str">
        <x:v>Changes record source, effective date and approved diners</x:v>
      </x:c>
      <x:c r="Q73" s="8" t="str">
        <x:v>Roster change evidence</x:v>
      </x:c>
      <x:c r="R73" s="9"/>
      <x:c r="S73" s="9" t="n">
        <x:v>6000</x:v>
      </x:c>
      <x:c r="T73" s="2" t="str">
        <x:v>J-K01</x:v>
      </x:c>
      <x:c r="U73" s="8" t="str">
        <x:v>Proposed work; implementation not authorized by this documentation request.</x:v>
      </x:c>
      <x:c r="V73" s="2" t="str">
        <x:v>Expansion</x:v>
      </x:c>
    </x:row>
    <x:row r="74" ht="60" customHeight="1">
      <x:c r="A74" s="2" t="str">
        <x:v>P05.01.04</x:v>
      </x:c>
      <x:c r="B74" s="2" t="str">
        <x:v>P05</x:v>
      </x:c>
      <x:c r="C74" s="8" t="str">
        <x:v>P05.01 Roster and preparation authority</x:v>
      </x:c>
      <x:c r="D74" s="8" t="str">
        <x:v>Reject late and conflicting adjustments</x:v>
      </x:c>
      <x:c r="E74" s="8" t="str">
        <x:v>Product/backend team</x:v>
      </x:c>
      <x:c r="F74" s="8" t="str">
        <x:v>Not started</x:v>
      </x:c>
      <x:c r="G74" s="4" t="b">
        <x:v>0</x:v>
      </x:c>
      <x:c r="H74" s="2" t="str">
        <x:f>IF(COUNTIFS($A$6:$A$161,A74)&lt;&gt;1,"Duplicate ID",IF(O74&lt;&gt;"Ready","Dependency open",IF(G74=TRUE,IF(AND(F74="Complete",I74&lt;&gt;"",J74&lt;&gt;"",K74&lt;&gt;""),"Verified","Evidence required"),IF(F74="Complete","Check completion",IF(F74="Blocked","Blocked",IF(F74="In progress","In progress",IF(F74="In review","In review","Open")))))))</x:f>
        <x:v>Dependency open</x:v>
      </x:c>
      <x:c r="I74" s="2" t="str"/>
      <x:c r="J74" s="2" t="str"/>
      <x:c r="K74" s="2" t="str"/>
      <x:c r="L74" s="2" t="str">
        <x:v>P05.01.03</x:v>
      </x:c>
      <x:c r="M74" s="2" t="str"/>
      <x:c r="N74" s="2" t="str"/>
      <x:c r="O74" s="2" t="str">
        <x:f>IF(AND(OR(L74="",_xlfn.IFNA(VLOOKUP(L74,$A$6:$H$73,8,FALSE),"Missing")="Verified"),OR(M74="",_xlfn.IFNA(VLOOKUP(M74,$A$6:$H$73,8,FALSE),"Missing")="Verified"),OR(N74="",_xlfn.IFNA(VLOOKUP(N74,$A$6:$H$73,8,FALSE),"Missing")="Verified")),"Ready","Dependency open")</x:f>
        <x:v>Dependency open</x:v>
      </x:c>
      <x:c r="P74" s="8" t="str">
        <x:v>Already-started/closed batch yields hold or new human decision</x:v>
      </x:c>
      <x:c r="Q74" s="8" t="str">
        <x:v>Cutoff/concurrency cases</x:v>
      </x:c>
      <x:c r="R74" s="9"/>
      <x:c r="S74" s="9" t="n">
        <x:v>6000</x:v>
      </x:c>
      <x:c r="T74" s="2" t="str">
        <x:v>J-K01</x:v>
      </x:c>
      <x:c r="U74" s="8" t="str">
        <x:v>Proposed work; implementation not authorized by this documentation request.</x:v>
      </x:c>
      <x:c r="V74" s="2" t="str">
        <x:v>Expansion</x:v>
      </x:c>
    </x:row>
    <x:row r="75" ht="60" customHeight="1">
      <x:c r="A75" s="2" t="str">
        <x:v>P05.02.01</x:v>
      </x:c>
      <x:c r="B75" s="2" t="str">
        <x:v>P05</x:v>
      </x:c>
      <x:c r="C75" s="8" t="str">
        <x:v>P05.02 Chef and measurements</x:v>
      </x:c>
      <x:c r="D75" s="8" t="str">
        <x:v>Review dietary and nutrition constraints</x:v>
      </x:c>
      <x:c r="E75" s="8" t="str">
        <x:v>Kitchen partner lead</x:v>
      </x:c>
      <x:c r="F75" s="8" t="str">
        <x:v>Not started</x:v>
      </x:c>
      <x:c r="G75" s="4" t="b">
        <x:v>0</x:v>
      </x:c>
      <x:c r="H75" s="2" t="str">
        <x:f>IF(COUNTIFS($A$6:$A$161,A75)&lt;&gt;1,"Duplicate ID",IF(O75&lt;&gt;"Ready","Dependency open",IF(G75=TRUE,IF(AND(F75="Complete",I75&lt;&gt;"",J75&lt;&gt;"",K75&lt;&gt;""),"Verified","Evidence required"),IF(F75="Complete","Check completion",IF(F75="Blocked","Blocked",IF(F75="In progress","In progress",IF(F75="In review","In review","Open")))))))</x:f>
        <x:v>Dependency open</x:v>
      </x:c>
      <x:c r="I75" s="2" t="str"/>
      <x:c r="J75" s="2" t="str"/>
      <x:c r="K75" s="2" t="str"/>
      <x:c r="L75" s="2" t="str">
        <x:v>P04.90.01</x:v>
      </x:c>
      <x:c r="M75" s="2" t="str"/>
      <x:c r="N75" s="2" t="str"/>
      <x:c r="O75" s="2" t="str">
        <x:f>IF(AND(OR(L75="",_xlfn.IFNA(VLOOKUP(L75,$A$6:$H$74,8,FALSE),"Missing")="Verified"),OR(M75="",_xlfn.IFNA(VLOOKUP(M75,$A$6:$H$74,8,FALSE),"Missing")="Verified"),OR(N75="",_xlfn.IFNA(VLOOKUP(N75,$A$6:$H$74,8,FALSE),"Missing")="Verified")),"Ready","Dependency open")</x:f>
        <x:v>Dependency open</x:v>
      </x:c>
      <x:c r="P75" s="8" t="str">
        <x:v>Qualified operator owns approved menu and substitutions</x:v>
      </x:c>
      <x:c r="Q75" s="8" t="str">
        <x:v>Operator-reviewed policy</x:v>
      </x:c>
      <x:c r="R75" s="9"/>
      <x:c r="S75" s="9" t="n">
        <x:v>6000</x:v>
      </x:c>
      <x:c r="T75" s="2" t="str">
        <x:v>J-K01</x:v>
      </x:c>
      <x:c r="U75" s="8" t="str">
        <x:v>Proposed work; implementation not authorized by this documentation request.</x:v>
      </x:c>
      <x:c r="V75" s="2" t="str">
        <x:v>Expansion</x:v>
      </x:c>
    </x:row>
    <x:row r="76" ht="60" customHeight="1">
      <x:c r="A76" s="2" t="str">
        <x:v>P05.02.02</x:v>
      </x:c>
      <x:c r="B76" s="2" t="str">
        <x:v>P05</x:v>
      </x:c>
      <x:c r="C76" s="8" t="str">
        <x:v>P05.02 Chef and measurements</x:v>
      </x:c>
      <x:c r="D76" s="8" t="str">
        <x:v>Implement chef approval of batch changes</x:v>
      </x:c>
      <x:c r="E76" s="8" t="str">
        <x:v>Kitchen partner lead</x:v>
      </x:c>
      <x:c r="F76" s="8" t="str">
        <x:v>Not started</x:v>
      </x:c>
      <x:c r="G76" s="4" t="b">
        <x:v>0</x:v>
      </x:c>
      <x:c r="H76" s="2" t="str">
        <x:f>IF(COUNTIFS($A$6:$A$161,A76)&lt;&gt;1,"Duplicate ID",IF(O76&lt;&gt;"Ready","Dependency open",IF(G76=TRUE,IF(AND(F76="Complete",I76&lt;&gt;"",J76&lt;&gt;"",K76&lt;&gt;""),"Verified","Evidence required"),IF(F76="Complete","Check completion",IF(F76="Blocked","Blocked",IF(F76="In progress","In progress",IF(F76="In review","In review","Open")))))))</x:f>
        <x:v>Dependency open</x:v>
      </x:c>
      <x:c r="I76" s="2" t="str"/>
      <x:c r="J76" s="2" t="str"/>
      <x:c r="K76" s="2" t="str"/>
      <x:c r="L76" s="2" t="str">
        <x:v>P05.02.01</x:v>
      </x:c>
      <x:c r="M76" s="2" t="str"/>
      <x:c r="N76" s="2" t="str"/>
      <x:c r="O76" s="2" t="str">
        <x:f>IF(AND(OR(L76="",_xlfn.IFNA(VLOOKUP(L76,$A$6:$H$75,8,FALSE),"Missing")="Verified"),OR(M76="",_xlfn.IFNA(VLOOKUP(M76,$A$6:$H$75,8,FALSE),"Missing")="Verified"),OR(N76="",_xlfn.IFNA(VLOOKUP(N76,$A$6:$H$75,8,FALSE),"Missing")="Verified")),"Ready","Dependency open")</x:f>
        <x:v>Dependency open</x:v>
      </x:c>
      <x:c r="P76" s="8" t="str">
        <x:v>Arithmetic deterministic; prep change requires authorized chef</x:v>
      </x:c>
      <x:c r="Q76" s="8" t="str">
        <x:v>Chef approval trace</x:v>
      </x:c>
      <x:c r="R76" s="9"/>
      <x:c r="S76" s="9" t="n">
        <x:v>6000</x:v>
      </x:c>
      <x:c r="T76" s="2" t="str">
        <x:v>J-K01</x:v>
      </x:c>
      <x:c r="U76" s="8" t="str">
        <x:v>Proposed work; implementation not authorized by this documentation request.</x:v>
      </x:c>
      <x:c r="V76" s="2" t="str">
        <x:v>Expansion</x:v>
      </x:c>
    </x:row>
    <x:row r="77" ht="60" customHeight="1">
      <x:c r="A77" s="2" t="str">
        <x:v>P05.02.03</x:v>
      </x:c>
      <x:c r="B77" s="2" t="str">
        <x:v>P05</x:v>
      </x:c>
      <x:c r="C77" s="8" t="str">
        <x:v>P05.02 Chef and measurements</x:v>
      </x:c>
      <x:c r="D77" s="8" t="str">
        <x:v>Separate preparation unserved and plate weights</x:v>
      </x:c>
      <x:c r="E77" s="8" t="str">
        <x:v>Kitchen partner lead</x:v>
      </x:c>
      <x:c r="F77" s="8" t="str">
        <x:v>Not started</x:v>
      </x:c>
      <x:c r="G77" s="4" t="b">
        <x:v>0</x:v>
      </x:c>
      <x:c r="H77" s="2" t="str">
        <x:f>IF(COUNTIFS($A$6:$A$161,A77)&lt;&gt;1,"Duplicate ID",IF(O77&lt;&gt;"Ready","Dependency open",IF(G77=TRUE,IF(AND(F77="Complete",I77&lt;&gt;"",J77&lt;&gt;"",K77&lt;&gt;""),"Verified","Evidence required"),IF(F77="Complete","Check completion",IF(F77="Blocked","Blocked",IF(F77="In progress","In progress",IF(F77="In review","In review","Open")))))))</x:f>
        <x:v>Dependency open</x:v>
      </x:c>
      <x:c r="I77" s="2" t="str"/>
      <x:c r="J77" s="2" t="str"/>
      <x:c r="K77" s="2" t="str"/>
      <x:c r="L77" s="2" t="str">
        <x:v>P05.02.02</x:v>
      </x:c>
      <x:c r="M77" s="2" t="str"/>
      <x:c r="N77" s="2" t="str"/>
      <x:c r="O77" s="2" t="str">
        <x:f>IF(AND(OR(L77="",_xlfn.IFNA(VLOOKUP(L77,$A$6:$H$76,8,FALSE),"Missing")="Verified"),OR(M77="",_xlfn.IFNA(VLOOKUP(M77,$A$6:$H$76,8,FALSE),"Missing")="Verified"),OR(N77="",_xlfn.IFNA(VLOOKUP(N77,$A$6:$H$76,8,FALSE),"Missing")="Verified")),"Ready","Dependency open")</x:f>
        <x:v>Dependency open</x:v>
      </x:c>
      <x:c r="P77" s="8" t="str">
        <x:v>Scale/time/tare/category metadata recorded distinctly</x:v>
      </x:c>
      <x:c r="Q77" s="8" t="str">
        <x:v>Stage measurement records</x:v>
      </x:c>
      <x:c r="R77" s="9"/>
      <x:c r="S77" s="9" t="n">
        <x:v>6000</x:v>
      </x:c>
      <x:c r="T77" s="2" t="str">
        <x:v>J-K01</x:v>
      </x:c>
      <x:c r="U77" s="8" t="str">
        <x:v>Proposed work; implementation not authorized by this documentation request.</x:v>
      </x:c>
      <x:c r="V77" s="2" t="str">
        <x:v>Expansion</x:v>
      </x:c>
    </x:row>
    <x:row r="78" ht="60" customHeight="1">
      <x:c r="A78" s="2" t="str">
        <x:v>P05.02.04</x:v>
      </x:c>
      <x:c r="B78" s="2" t="str">
        <x:v>P05</x:v>
      </x:c>
      <x:c r="C78" s="8" t="str">
        <x:v>P05.02 Chef and measurements</x:v>
      </x:c>
      <x:c r="D78" s="8" t="str">
        <x:v>Reconcile planned versus actual served meals</x:v>
      </x:c>
      <x:c r="E78" s="8" t="str">
        <x:v>Kitchen partner lead</x:v>
      </x:c>
      <x:c r="F78" s="8" t="str">
        <x:v>Not started</x:v>
      </x:c>
      <x:c r="G78" s="4" t="b">
        <x:v>0</x:v>
      </x:c>
      <x:c r="H78" s="2" t="str">
        <x:f>IF(COUNTIFS($A$6:$A$161,A78)&lt;&gt;1,"Duplicate ID",IF(O78&lt;&gt;"Ready","Dependency open",IF(G78=TRUE,IF(AND(F78="Complete",I78&lt;&gt;"",J78&lt;&gt;"",K78&lt;&gt;""),"Verified","Evidence required"),IF(F78="Complete","Check completion",IF(F78="Blocked","Blocked",IF(F78="In progress","In progress",IF(F78="In review","In review","Open")))))))</x:f>
        <x:v>Dependency open</x:v>
      </x:c>
      <x:c r="I78" s="2" t="str"/>
      <x:c r="J78" s="2" t="str"/>
      <x:c r="K78" s="2" t="str"/>
      <x:c r="L78" s="2" t="str">
        <x:v>P05.02.03</x:v>
      </x:c>
      <x:c r="M78" s="2" t="str"/>
      <x:c r="N78" s="2" t="str"/>
      <x:c r="O78" s="2" t="str">
        <x:f>IF(AND(OR(L78="",_xlfn.IFNA(VLOOKUP(L78,$A$6:$H$77,8,FALSE),"Missing")="Verified"),OR(M78="",_xlfn.IFNA(VLOOKUP(M78,$A$6:$H$77,8,FALSE),"Missing")="Verified"),OR(N78="",_xlfn.IFNA(VLOOKUP(N78,$A$6:$H$77,8,FALSE),"Missing")="Verified")),"Ready","Dependency open")</x:f>
        <x:v>Dependency open</x:v>
      </x:c>
      <x:c r="P78" s="8" t="str">
        <x:v>Denominator actual served; unknown data not inferred</x:v>
      </x:c>
      <x:c r="Q78" s="8" t="str">
        <x:v>Kitchen outcome calculation</x:v>
      </x:c>
      <x:c r="R78" s="9"/>
      <x:c r="S78" s="9" t="n">
        <x:v>6000</x:v>
      </x:c>
      <x:c r="T78" s="2" t="str">
        <x:v>J-K01</x:v>
      </x:c>
      <x:c r="U78" s="8" t="str">
        <x:v>Proposed work; implementation not authorized by this documentation request.</x:v>
      </x:c>
      <x:c r="V78" s="2" t="str">
        <x:v>Expansion</x:v>
      </x:c>
    </x:row>
    <x:row r="79" ht="60" customHeight="1">
      <x:c r="A79" s="2" t="str">
        <x:v>P05.03.01</x:v>
      </x:c>
      <x:c r="B79" s="2" t="str">
        <x:v>P05</x:v>
      </x:c>
      <x:c r="C79" s="8" t="str">
        <x:v>P05.03 Kitchen validation</x:v>
      </x:c>
      <x:c r="D79" s="8" t="str">
        <x:v>Annotate K-lane failure cases</x:v>
      </x:c>
      <x:c r="E79" s="8" t="str">
        <x:v>Evaluation reviewer</x:v>
      </x:c>
      <x:c r="F79" s="8" t="str">
        <x:v>Not started</x:v>
      </x:c>
      <x:c r="G79" s="4" t="b">
        <x:v>0</x:v>
      </x:c>
      <x:c r="H79" s="2" t="str">
        <x:f>IF(COUNTIFS($A$6:$A$161,A79)&lt;&gt;1,"Duplicate ID",IF(O79&lt;&gt;"Ready","Dependency open",IF(G79=TRUE,IF(AND(F79="Complete",I79&lt;&gt;"",J79&lt;&gt;"",K79&lt;&gt;""),"Verified","Evidence required"),IF(F79="Complete","Check completion",IF(F79="Blocked","Blocked",IF(F79="In progress","In progress",IF(F79="In review","In review","Open")))))))</x:f>
        <x:v>Dependency open</x:v>
      </x:c>
      <x:c r="I79" s="2" t="str"/>
      <x:c r="J79" s="2" t="str"/>
      <x:c r="K79" s="2" t="str"/>
      <x:c r="L79" s="2" t="str">
        <x:v>P04.90.01</x:v>
      </x:c>
      <x:c r="M79" s="2" t="str"/>
      <x:c r="N79" s="2" t="str"/>
      <x:c r="O79" s="2" t="str">
        <x:f>IF(AND(OR(L79="",_xlfn.IFNA(VLOOKUP(L79,$A$6:$H$78,8,FALSE),"Missing")="Verified"),OR(M79="",_xlfn.IFNA(VLOOKUP(M79,$A$6:$H$78,8,FALSE),"Missing")="Verified"),OR(N79="",_xlfn.IFNA(VLOOKUP(N79,$A$6:$H$78,8,FALSE),"Missing")="Verified")),"Ready","Dependency open")</x:f>
        <x:v>Dependency open</x:v>
      </x:c>
      <x:c r="P79" s="8" t="str">
        <x:v>Late event, diet mismatch, role escalation and double count covered</x:v>
      </x:c>
      <x:c r="Q79" s="8" t="str">
        <x:v>K gold cases</x:v>
      </x:c>
      <x:c r="R79" s="9"/>
      <x:c r="S79" s="9" t="n">
        <x:v>6000</x:v>
      </x:c>
      <x:c r="T79" s="2" t="str">
        <x:v>J-K01</x:v>
      </x:c>
      <x:c r="U79" s="8" t="str">
        <x:v>Proposed work; implementation not authorized by this documentation request.</x:v>
      </x:c>
      <x:c r="V79" s="2" t="str">
        <x:v>Expansion</x:v>
      </x:c>
    </x:row>
    <x:row r="80" ht="60" customHeight="1">
      <x:c r="A80" s="2" t="str">
        <x:v>P05.03.02</x:v>
      </x:c>
      <x:c r="B80" s="2" t="str">
        <x:v>P05</x:v>
      </x:c>
      <x:c r="C80" s="8" t="str">
        <x:v>P05.03 Kitchen validation</x:v>
      </x:c>
      <x:c r="D80" s="8" t="str">
        <x:v>Compare against simple headcount and batch rules</x:v>
      </x:c>
      <x:c r="E80" s="8" t="str">
        <x:v>Evaluation reviewer</x:v>
      </x:c>
      <x:c r="F80" s="8" t="str">
        <x:v>Not started</x:v>
      </x:c>
      <x:c r="G80" s="4" t="b">
        <x:v>0</x:v>
      </x:c>
      <x:c r="H80" s="2" t="str">
        <x:f>IF(COUNTIFS($A$6:$A$161,A80)&lt;&gt;1,"Duplicate ID",IF(O80&lt;&gt;"Ready","Dependency open",IF(G80=TRUE,IF(AND(F80="Complete",I80&lt;&gt;"",J80&lt;&gt;"",K80&lt;&gt;""),"Verified","Evidence required"),IF(F80="Complete","Check completion",IF(F80="Blocked","Blocked",IF(F80="In progress","In progress",IF(F80="In review","In review","Open")))))))</x:f>
        <x:v>Dependency open</x:v>
      </x:c>
      <x:c r="I80" s="2" t="str"/>
      <x:c r="J80" s="2" t="str"/>
      <x:c r="K80" s="2" t="str"/>
      <x:c r="L80" s="2" t="str">
        <x:v>P05.03.01</x:v>
      </x:c>
      <x:c r="M80" s="2" t="str"/>
      <x:c r="N80" s="2" t="str"/>
      <x:c r="O80" s="2" t="str">
        <x:f>IF(AND(OR(L80="",_xlfn.IFNA(VLOOKUP(L80,$A$6:$H$79,8,FALSE),"Missing")="Verified"),OR(M80="",_xlfn.IFNA(VLOOKUP(M80,$A$6:$H$79,8,FALSE),"Missing")="Verified"),OR(N80="",_xlfn.IFNA(VLOOKUP(N80,$A$6:$H$79,8,FALSE),"Missing")="Verified")),"Ready","Dependency open")</x:f>
        <x:v>Dependency open</x:v>
      </x:c>
      <x:c r="P80" s="8" t="str">
        <x:v>Equivalent roster and cutoff inputs used across arms</x:v>
      </x:c>
      <x:c r="Q80" s="8" t="str">
        <x:v>K comparative run</x:v>
      </x:c>
      <x:c r="R80" s="9"/>
      <x:c r="S80" s="9" t="n">
        <x:v>6000</x:v>
      </x:c>
      <x:c r="T80" s="2" t="str">
        <x:v>J-K01</x:v>
      </x:c>
      <x:c r="U80" s="8" t="str">
        <x:v>Proposed work; implementation not authorized by this documentation request.</x:v>
      </x:c>
      <x:c r="V80" s="2" t="str">
        <x:v>Expansion</x:v>
      </x:c>
    </x:row>
    <x:row r="81" ht="60" customHeight="1">
      <x:c r="A81" s="2" t="str">
        <x:v>P05.03.03</x:v>
      </x:c>
      <x:c r="B81" s="2" t="str">
        <x:v>P05</x:v>
      </x:c>
      <x:c r="C81" s="8" t="str">
        <x:v>P05.03 Kitchen validation</x:v>
      </x:c>
      <x:c r="D81" s="8" t="str">
        <x:v>Pilot with authorized kitchen</x:v>
      </x:c>
      <x:c r="E81" s="8" t="str">
        <x:v>Evaluation reviewer</x:v>
      </x:c>
      <x:c r="F81" s="8" t="str">
        <x:v>Not started</x:v>
      </x:c>
      <x:c r="G81" s="4" t="b">
        <x:v>0</x:v>
      </x:c>
      <x:c r="H81" s="2" t="str">
        <x:f>IF(COUNTIFS($A$6:$A$161,A81)&lt;&gt;1,"Duplicate ID",IF(O81&lt;&gt;"Ready","Dependency open",IF(G81=TRUE,IF(AND(F81="Complete",I81&lt;&gt;"",J81&lt;&gt;"",K81&lt;&gt;""),"Verified","Evidence required"),IF(F81="Complete","Check completion",IF(F81="Blocked","Blocked",IF(F81="In progress","In progress",IF(F81="In review","In review","Open")))))))</x:f>
        <x:v>Dependency open</x:v>
      </x:c>
      <x:c r="I81" s="2" t="str"/>
      <x:c r="J81" s="2" t="str"/>
      <x:c r="K81" s="2" t="str"/>
      <x:c r="L81" s="2" t="str">
        <x:v>P05.03.02</x:v>
      </x:c>
      <x:c r="M81" s="2" t="str"/>
      <x:c r="N81" s="2" t="str"/>
      <x:c r="O81" s="2" t="str">
        <x:f>IF(AND(OR(L81="",_xlfn.IFNA(VLOOKUP(L81,$A$6:$H$80,8,FALSE),"Missing")="Verified"),OR(M81="",_xlfn.IFNA(VLOOKUP(M81,$A$6:$H$80,8,FALSE),"Missing")="Verified"),OR(N81="",_xlfn.IFNA(VLOOKUP(N81,$A$6:$H$80,8,FALSE),"Missing")="Verified")),"Ready","Dependency open")</x:f>
        <x:v>Dependency open</x:v>
      </x:c>
      <x:c r="P81" s="8" t="str">
        <x:v>Site consent, workload and food-service oversight recorded</x:v>
      </x:c>
      <x:c r="Q81" s="8" t="str">
        <x:v>Pilot protocol and permission</x:v>
      </x:c>
      <x:c r="R81" s="9"/>
      <x:c r="S81" s="9" t="n">
        <x:v>6000</x:v>
      </x:c>
      <x:c r="T81" s="2" t="str">
        <x:v>J-K01</x:v>
      </x:c>
      <x:c r="U81" s="8" t="str">
        <x:v>Proposed work; implementation not authorized by this documentation request.</x:v>
      </x:c>
      <x:c r="V81" s="2" t="str">
        <x:v>Expansion</x:v>
      </x:c>
    </x:row>
    <x:row r="82" ht="60" customHeight="1">
      <x:c r="A82" s="2" t="str">
        <x:v>P05.03.04</x:v>
      </x:c>
      <x:c r="B82" s="2" t="str">
        <x:v>P05</x:v>
      </x:c>
      <x:c r="C82" s="8" t="str">
        <x:v>P05.03 Kitchen validation</x:v>
      </x:c>
      <x:c r="D82" s="8" t="str">
        <x:v>Choose continue revise or stop</x:v>
      </x:c>
      <x:c r="E82" s="8" t="str">
        <x:v>Evaluation reviewer</x:v>
      </x:c>
      <x:c r="F82" s="8" t="str">
        <x:v>Not started</x:v>
      </x:c>
      <x:c r="G82" s="4" t="b">
        <x:v>0</x:v>
      </x:c>
      <x:c r="H82" s="2" t="str">
        <x:f>IF(COUNTIFS($A$6:$A$161,A82)&lt;&gt;1,"Duplicate ID",IF(O82&lt;&gt;"Ready","Dependency open",IF(G82=TRUE,IF(AND(F82="Complete",I82&lt;&gt;"",J82&lt;&gt;"",K82&lt;&gt;""),"Verified","Evidence required"),IF(F82="Complete","Check completion",IF(F82="Blocked","Blocked",IF(F82="In progress","In progress",IF(F82="In review","In review","Open")))))))</x:f>
        <x:v>Dependency open</x:v>
      </x:c>
      <x:c r="I82" s="2" t="str"/>
      <x:c r="J82" s="2" t="str"/>
      <x:c r="K82" s="2" t="str"/>
      <x:c r="L82" s="2" t="str">
        <x:v>P05.03.03</x:v>
      </x:c>
      <x:c r="M82" s="2" t="str"/>
      <x:c r="N82" s="2" t="str"/>
      <x:c r="O82" s="2" t="str">
        <x:f>IF(AND(OR(L82="",_xlfn.IFNA(VLOOKUP(L82,$A$6:$H$81,8,FALSE),"Missing")="Verified"),OR(M82="",_xlfn.IFNA(VLOOKUP(M82,$A$6:$H$81,8,FALSE),"Missing")="Verified"),OR(N82="",_xlfn.IFNA(VLOOKUP(N82,$A$6:$H$81,8,FALSE),"Missing")="Verified")),"Ready","Dependency open")</x:f>
        <x:v>Dependency open</x:v>
      </x:c>
      <x:c r="P82" s="8" t="str">
        <x:v>Observed effort/correctness supports explicit decision</x:v>
      </x:c>
      <x:c r="Q82" s="8" t="str">
        <x:v>Kitchen gate report</x:v>
      </x:c>
      <x:c r="R82" s="9"/>
      <x:c r="S82" s="9" t="n">
        <x:v>6000</x:v>
      </x:c>
      <x:c r="T82" s="2" t="str">
        <x:v>J-K01</x:v>
      </x:c>
      <x:c r="U82" s="8" t="str">
        <x:v>Proposed work; implementation not authorized by this documentation request.</x:v>
      </x:c>
      <x:c r="V82" s="2" t="str">
        <x:v>Expansion</x:v>
      </x:c>
    </x:row>
    <x:row r="83" ht="60" customHeight="1">
      <x:c r="A83" s="2" t="str">
        <x:v>P05.90.01</x:v>
      </x:c>
      <x:c r="B83" s="2" t="str">
        <x:v>P05</x:v>
      </x:c>
      <x:c r="C83" s="8" t="str">
        <x:v>P05.90 Phase gate</x:v>
      </x:c>
      <x:c r="D83" s="8" t="str">
        <x:v>Review and accept institutional kitchen extension</x:v>
      </x:c>
      <x:c r="E83" s="8" t="str">
        <x:v>Product owner + independent reviewer</x:v>
      </x:c>
      <x:c r="F83" s="8" t="str">
        <x:v>Not started</x:v>
      </x:c>
      <x:c r="G83" s="4" t="b">
        <x:v>0</x:v>
      </x:c>
      <x:c r="H83" s="2" t="str">
        <x:f>IF(COUNTIFS($A$6:$A$161,A83)&lt;&gt;1,"Duplicate ID",IF(O83&lt;&gt;"Ready","Dependency open",IF(G83=TRUE,IF(AND(F83="Complete",I83&lt;&gt;"",J83&lt;&gt;"",K83&lt;&gt;""),"Verified","Evidence required"),IF(F83="Complete","Check completion",IF(F83="Blocked","Blocked",IF(F83="In progress","In progress",IF(F83="In review","In review","Open")))))))</x:f>
        <x:v>Dependency open</x:v>
      </x:c>
      <x:c r="I83" s="2" t="str"/>
      <x:c r="J83" s="2" t="str"/>
      <x:c r="K83" s="2" t="str"/>
      <x:c r="L83" s="2" t="str">
        <x:v>P05.01.04</x:v>
      </x:c>
      <x:c r="M83" s="2" t="str">
        <x:v>P05.02.04</x:v>
      </x:c>
      <x:c r="N83" s="2" t="str">
        <x:v>P05.03.04</x:v>
      </x:c>
      <x:c r="O83" s="2" t="str">
        <x:f>IF(AND(OR(L83="",_xlfn.IFNA(VLOOKUP(L83,$A$6:$H$82,8,FALSE),"Missing")="Verified"),OR(M83="",_xlfn.IFNA(VLOOKUP(M83,$A$6:$H$82,8,FALSE),"Missing")="Verified"),OR(N83="",_xlfn.IFNA(VLOOKUP(N83,$A$6:$H$82,8,FALSE),"Missing")="Verified")),"Ready","Dependency open")</x:f>
        <x:v>Dependency open</x:v>
      </x:c>
      <x:c r="P83" s="8" t="str">
        <x:v>All prerequisites verified; critical risks closed or explicitly rejected for rollout; human records go/revise/stop decision.</x:v>
      </x:c>
      <x:c r="Q83" s="8" t="str">
        <x:v>Phase gate record with reviewer, evidence links, residual risks and next scope</x:v>
      </x:c>
      <x:c r="R83" s="9"/>
      <x:c r="S83" s="9" t="n">
        <x:v>4000</x:v>
      </x:c>
      <x:c r="T83" s="2" t="str">
        <x:v>P05-GATE</x:v>
      </x:c>
      <x:c r="U83" s="8" t="str">
        <x:v>Unchecked until phase evidence is reviewed. A written plan is not implementation evidence.</x:v>
      </x:c>
      <x:c r="V83" s="2" t="str">
        <x:v>Expansion</x:v>
      </x:c>
    </x:row>
    <x:row r="84" ht="60" customHeight="1">
      <x:c r="A84" s="2" t="str">
        <x:v>P06.01.01</x:v>
      </x:c>
      <x:c r="B84" s="2" t="str">
        <x:v>P06</x:v>
      </x:c>
      <x:c r="C84" s="8" t="str">
        <x:v>P06.01 Policy and donor eligibility</x:v>
      </x:c>
      <x:c r="D84" s="8" t="str">
        <x:v>Obtain qualified policy review</x:v>
      </x:c>
      <x:c r="E84" s="8" t="str">
        <x:v>Safety/partner lead</x:v>
      </x:c>
      <x:c r="F84" s="8" t="str">
        <x:v>Not started</x:v>
      </x:c>
      <x:c r="G84" s="4" t="b">
        <x:v>0</x:v>
      </x:c>
      <x:c r="H84" s="2" t="str">
        <x:f>IF(COUNTIFS($A$6:$A$161,A84)&lt;&gt;1,"Duplicate ID",IF(O84&lt;&gt;"Ready","Dependency open",IF(G84=TRUE,IF(AND(F84="Complete",I84&lt;&gt;"",J84&lt;&gt;"",K84&lt;&gt;""),"Verified","Evidence required"),IF(F84="Complete","Check completion",IF(F84="Blocked","Blocked",IF(F84="In progress","In progress",IF(F84="In review","In review","Open")))))))</x:f>
        <x:v>Dependency open</x:v>
      </x:c>
      <x:c r="I84" s="2" t="str"/>
      <x:c r="J84" s="2" t="str"/>
      <x:c r="K84" s="2" t="str"/>
      <x:c r="L84" s="2" t="str">
        <x:v>P04.90.01</x:v>
      </x:c>
      <x:c r="M84" s="2" t="str"/>
      <x:c r="N84" s="2" t="str"/>
      <x:c r="O84" s="2" t="str">
        <x:f>IF(AND(OR(L84="",_xlfn.IFNA(VLOOKUP(L84,$A$6:$H$83,8,FALSE),"Missing")="Verified"),OR(M84="",_xlfn.IFNA(VLOOKUP(M84,$A$6:$H$83,8,FALSE),"Missing")="Verified"),OR(N84="",_xlfn.IFNA(VLOOKUP(N84,$A$6:$H$83,8,FALSE),"Missing")="Verified")),"Ready","Dependency open")</x:f>
        <x:v>Dependency open</x:v>
      </x:c>
      <x:c r="P84" s="8" t="str">
        <x:v>Jurisdiction, category, source version and effective dates recorded</x:v>
      </x:c>
      <x:c r="Q84" s="8" t="str">
        <x:v>Policy sign-off</x:v>
      </x:c>
      <x:c r="R84" s="9"/>
      <x:c r="S84" s="9" t="n">
        <x:v>6000</x:v>
      </x:c>
      <x:c r="T84" s="2" t="str">
        <x:v>J-R01 / REQ-POL-01</x:v>
      </x:c>
      <x:c r="U84" s="8" t="str">
        <x:v>Proposed work; implementation not authorized by this documentation request.</x:v>
      </x:c>
      <x:c r="V84" s="2" t="str">
        <x:v>Expansion</x:v>
      </x:c>
    </x:row>
    <x:row r="85" ht="60" customHeight="1">
      <x:c r="A85" s="2" t="str">
        <x:v>P06.01.02</x:v>
      </x:c>
      <x:c r="B85" s="2" t="str">
        <x:v>P06</x:v>
      </x:c>
      <x:c r="C85" s="8" t="str">
        <x:v>P06.01 Policy and donor eligibility</x:v>
      </x:c>
      <x:c r="D85" s="8" t="str">
        <x:v>Implement donor evidence completeness</x:v>
      </x:c>
      <x:c r="E85" s="8" t="str">
        <x:v>Safety/partner lead</x:v>
      </x:c>
      <x:c r="F85" s="8" t="str">
        <x:v>Not started</x:v>
      </x:c>
      <x:c r="G85" s="4" t="b">
        <x:v>0</x:v>
      </x:c>
      <x:c r="H85" s="2" t="str">
        <x:f>IF(COUNTIFS($A$6:$A$161,A85)&lt;&gt;1,"Duplicate ID",IF(O85&lt;&gt;"Ready","Dependency open",IF(G85=TRUE,IF(AND(F85="Complete",I85&lt;&gt;"",J85&lt;&gt;"",K85&lt;&gt;""),"Verified","Evidence required"),IF(F85="Complete","Check completion",IF(F85="Blocked","Blocked",IF(F85="In progress","In progress",IF(F85="In review","In review","Open")))))))</x:f>
        <x:v>Dependency open</x:v>
      </x:c>
      <x:c r="I85" s="2" t="str"/>
      <x:c r="J85" s="2" t="str"/>
      <x:c r="K85" s="2" t="str"/>
      <x:c r="L85" s="2" t="str">
        <x:v>P06.01.01</x:v>
      </x:c>
      <x:c r="M85" s="2" t="str"/>
      <x:c r="N85" s="2" t="str"/>
      <x:c r="O85" s="2" t="str">
        <x:f>IF(AND(OR(L85="",_xlfn.IFNA(VLOOKUP(L85,$A$6:$H$84,8,FALSE),"Missing")="Verified"),OR(M85="",_xlfn.IFNA(VLOOKUP(M85,$A$6:$H$84,8,FALSE),"Missing")="Verified"),OR(N85="",_xlfn.IFNA(VLOOKUP(N85,$A$6:$H$84,8,FALSE),"Missing")="Verified")),"Ready","Dependency open")</x:f>
        <x:v>Dependency open</x:v>
      </x:c>
      <x:c r="P85" s="8" t="str">
        <x:v>Unused/unserved status, custody and required handling records explicit</x:v>
      </x:c>
      <x:c r="Q85" s="8" t="str">
        <x:v>FoodOffer schema/evidence</x:v>
      </x:c>
      <x:c r="R85" s="9"/>
      <x:c r="S85" s="9" t="n">
        <x:v>6000</x:v>
      </x:c>
      <x:c r="T85" s="2" t="str">
        <x:v>J-R01 / REQ-POL-01</x:v>
      </x:c>
      <x:c r="U85" s="8" t="str">
        <x:v>Proposed work; implementation not authorized by this documentation request.</x:v>
      </x:c>
      <x:c r="V85" s="2" t="str">
        <x:v>Expansion</x:v>
      </x:c>
    </x:row>
    <x:row r="86" ht="60" customHeight="1">
      <x:c r="A86" s="2" t="str">
        <x:v>P06.01.03</x:v>
      </x:c>
      <x:c r="B86" s="2" t="str">
        <x:v>P06</x:v>
      </x:c>
      <x:c r="C86" s="8" t="str">
        <x:v>P06.01 Policy and donor eligibility</x:v>
      </x:c>
      <x:c r="D86" s="8" t="str">
        <x:v>Block excluded or unreviewed offers</x:v>
      </x:c>
      <x:c r="E86" s="8" t="str">
        <x:v>Safety/partner lead</x:v>
      </x:c>
      <x:c r="F86" s="8" t="str">
        <x:v>Not started</x:v>
      </x:c>
      <x:c r="G86" s="4" t="b">
        <x:v>0</x:v>
      </x:c>
      <x:c r="H86" s="2" t="str">
        <x:f>IF(COUNTIFS($A$6:$A$161,A86)&lt;&gt;1,"Duplicate ID",IF(O86&lt;&gt;"Ready","Dependency open",IF(G86=TRUE,IF(AND(F86="Complete",I86&lt;&gt;"",J86&lt;&gt;"",K86&lt;&gt;""),"Verified","Evidence required"),IF(F86="Complete","Check completion",IF(F86="Blocked","Blocked",IF(F86="In progress","In progress",IF(F86="In review","In review","Open")))))))</x:f>
        <x:v>Dependency open</x:v>
      </x:c>
      <x:c r="I86" s="2" t="str"/>
      <x:c r="J86" s="2" t="str"/>
      <x:c r="K86" s="2" t="str"/>
      <x:c r="L86" s="2" t="str">
        <x:v>P06.01.02</x:v>
      </x:c>
      <x:c r="M86" s="2" t="str"/>
      <x:c r="N86" s="2" t="str"/>
      <x:c r="O86" s="2" t="str">
        <x:f>IF(AND(OR(L86="",_xlfn.IFNA(VLOOKUP(L86,$A$6:$H$85,8,FALSE),"Missing")="Verified"),OR(M86="",_xlfn.IFNA(VLOOKUP(M86,$A$6:$H$85,8,FALSE),"Missing")="Verified"),OR(N86="",_xlfn.IFNA(VLOOKUP(N86,$A$6:$H$85,8,FALSE),"Missing")="Verified")),"Ready","Dependency open")</x:f>
        <x:v>Dependency open</x:v>
      </x:c>
      <x:c r="P86" s="8" t="str">
        <x:v>Plate/spoiled food rejected; unknown state held for review</x:v>
      </x:c>
      <x:c r="Q86" s="8" t="str">
        <x:v>R negative cases</x:v>
      </x:c>
      <x:c r="R86" s="9"/>
      <x:c r="S86" s="9" t="n">
        <x:v>6000</x:v>
      </x:c>
      <x:c r="T86" s="2" t="str">
        <x:v>J-R01 / REQ-POL-01</x:v>
      </x:c>
      <x:c r="U86" s="8" t="str">
        <x:v>Proposed work; implementation not authorized by this documentation request.</x:v>
      </x:c>
      <x:c r="V86" s="2" t="str">
        <x:v>Expansion</x:v>
      </x:c>
    </x:row>
    <x:row r="87" ht="60" customHeight="1">
      <x:c r="A87" s="2" t="str">
        <x:v>P06.01.04</x:v>
      </x:c>
      <x:c r="B87" s="2" t="str">
        <x:v>P06</x:v>
      </x:c>
      <x:c r="C87" s="8" t="str">
        <x:v>P06.01 Policy and donor eligibility</x:v>
      </x:c>
      <x:c r="D87" s="8" t="str">
        <x:v>Require human eligibility decision</x:v>
      </x:c>
      <x:c r="E87" s="8" t="str">
        <x:v>Safety/partner lead</x:v>
      </x:c>
      <x:c r="F87" s="8" t="str">
        <x:v>Not started</x:v>
      </x:c>
      <x:c r="G87" s="4" t="b">
        <x:v>0</x:v>
      </x:c>
      <x:c r="H87" s="2" t="str">
        <x:f>IF(COUNTIFS($A$6:$A$161,A87)&lt;&gt;1,"Duplicate ID",IF(O87&lt;&gt;"Ready","Dependency open",IF(G87=TRUE,IF(AND(F87="Complete",I87&lt;&gt;"",J87&lt;&gt;"",K87&lt;&gt;""),"Verified","Evidence required"),IF(F87="Complete","Check completion",IF(F87="Blocked","Blocked",IF(F87="In progress","In progress",IF(F87="In review","In review","Open")))))))</x:f>
        <x:v>Dependency open</x:v>
      </x:c>
      <x:c r="I87" s="2" t="str"/>
      <x:c r="J87" s="2" t="str"/>
      <x:c r="K87" s="2" t="str"/>
      <x:c r="L87" s="2" t="str">
        <x:v>P06.01.03</x:v>
      </x:c>
      <x:c r="M87" s="2" t="str"/>
      <x:c r="N87" s="2" t="str"/>
      <x:c r="O87" s="2" t="str">
        <x:f>IF(AND(OR(L87="",_xlfn.IFNA(VLOOKUP(L87,$A$6:$H$86,8,FALSE),"Missing")="Verified"),OR(M87="",_xlfn.IFNA(VLOOKUP(M87,$A$6:$H$86,8,FALSE),"Missing")="Verified"),OR(N87="",_xlfn.IFNA(VLOOKUP(N87,$A$6:$H$86,8,FALSE),"Missing")="Verified")),"Ready","Dependency open")</x:f>
        <x:v>Dependency open</x:v>
      </x:c>
      <x:c r="P87" s="8" t="str">
        <x:v>Reviewer identity and policy version persisted; AI cannot certify</x:v>
      </x:c>
      <x:c r="Q87" s="8" t="str">
        <x:v>Qualified review record</x:v>
      </x:c>
      <x:c r="R87" s="9"/>
      <x:c r="S87" s="9" t="n">
        <x:v>6000</x:v>
      </x:c>
      <x:c r="T87" s="2" t="str">
        <x:v>J-R01 / REQ-POL-01</x:v>
      </x:c>
      <x:c r="U87" s="8" t="str">
        <x:v>Proposed work; implementation not authorized by this documentation request.</x:v>
      </x:c>
      <x:c r="V87" s="2" t="str">
        <x:v>Expansion</x:v>
      </x:c>
    </x:row>
    <x:row r="88" ht="60" customHeight="1">
      <x:c r="A88" s="2" t="str">
        <x:v>P06.02.01</x:v>
      </x:c>
      <x:c r="B88" s="2" t="str">
        <x:v>P06</x:v>
      </x:c>
      <x:c r="C88" s="8" t="str">
        <x:v>P06.02 Capacity and agreements</x:v>
      </x:c>
      <x:c r="D88" s="8" t="str">
        <x:v>Verify NGO and recipient organizations</x:v>
      </x:c>
      <x:c r="E88" s="8" t="str">
        <x:v>Partner operations lead</x:v>
      </x:c>
      <x:c r="F88" s="8" t="str">
        <x:v>Not started</x:v>
      </x:c>
      <x:c r="G88" s="4" t="b">
        <x:v>0</x:v>
      </x:c>
      <x:c r="H88" s="2" t="str">
        <x:f>IF(COUNTIFS($A$6:$A$161,A88)&lt;&gt;1,"Duplicate ID",IF(O88&lt;&gt;"Ready","Dependency open",IF(G88=TRUE,IF(AND(F88="Complete",I88&lt;&gt;"",J88&lt;&gt;"",K88&lt;&gt;""),"Verified","Evidence required"),IF(F88="Complete","Check completion",IF(F88="Blocked","Blocked",IF(F88="In progress","In progress",IF(F88="In review","In review","Open")))))))</x:f>
        <x:v>Dependency open</x:v>
      </x:c>
      <x:c r="I88" s="2" t="str"/>
      <x:c r="J88" s="2" t="str"/>
      <x:c r="K88" s="2" t="str"/>
      <x:c r="L88" s="2" t="str">
        <x:v>P04.90.01</x:v>
      </x:c>
      <x:c r="M88" s="2" t="str"/>
      <x:c r="N88" s="2" t="str"/>
      <x:c r="O88" s="2" t="str">
        <x:f>IF(AND(OR(L88="",_xlfn.IFNA(VLOOKUP(L88,$A$6:$H$87,8,FALSE),"Missing")="Verified"),OR(M88="",_xlfn.IFNA(VLOOKUP(M88,$A$6:$H$87,8,FALSE),"Missing")="Verified"),OR(N88="",_xlfn.IFNA(VLOOKUP(N88,$A$6:$H$87,8,FALSE),"Missing")="Verified")),"Ready","Dependency open")</x:f>
        <x:v>Dependency open</x:v>
      </x:c>
      <x:c r="P88" s="8" t="str">
        <x:v>Permissions, handling capability and contact consent documented</x:v>
      </x:c>
      <x:c r="Q88" s="8" t="str">
        <x:v>Partner onboarding evidence</x:v>
      </x:c>
      <x:c r="R88" s="9"/>
      <x:c r="S88" s="9" t="n">
        <x:v>6000</x:v>
      </x:c>
      <x:c r="T88" s="2" t="str">
        <x:v>J-R01 / REQ-POL-01</x:v>
      </x:c>
      <x:c r="U88" s="8" t="str">
        <x:v>Proposed work; implementation not authorized by this documentation request.</x:v>
      </x:c>
      <x:c r="V88" s="2" t="str">
        <x:v>Expansion</x:v>
      </x:c>
    </x:row>
    <x:row r="89" ht="60" customHeight="1">
      <x:c r="A89" s="2" t="str">
        <x:v>P06.02.02</x:v>
      </x:c>
      <x:c r="B89" s="2" t="str">
        <x:v>P06</x:v>
      </x:c>
      <x:c r="C89" s="8" t="str">
        <x:v>P06.02 Capacity and agreements</x:v>
      </x:c>
      <x:c r="D89" s="8" t="str">
        <x:v>Record separate NGO and recipient acceptance</x:v>
      </x:c>
      <x:c r="E89" s="8" t="str">
        <x:v>Partner operations lead</x:v>
      </x:c>
      <x:c r="F89" s="8" t="str">
        <x:v>Not started</x:v>
      </x:c>
      <x:c r="G89" s="4" t="b">
        <x:v>0</x:v>
      </x:c>
      <x:c r="H89" s="2" t="str">
        <x:f>IF(COUNTIFS($A$6:$A$161,A89)&lt;&gt;1,"Duplicate ID",IF(O89&lt;&gt;"Ready","Dependency open",IF(G89=TRUE,IF(AND(F89="Complete",I89&lt;&gt;"",J89&lt;&gt;"",K89&lt;&gt;""),"Verified","Evidence required"),IF(F89="Complete","Check completion",IF(F89="Blocked","Blocked",IF(F89="In progress","In progress",IF(F89="In review","In review","Open")))))))</x:f>
        <x:v>Dependency open</x:v>
      </x:c>
      <x:c r="I89" s="2" t="str"/>
      <x:c r="J89" s="2" t="str"/>
      <x:c r="K89" s="2" t="str"/>
      <x:c r="L89" s="2" t="str">
        <x:v>P06.02.01</x:v>
      </x:c>
      <x:c r="M89" s="2" t="str"/>
      <x:c r="N89" s="2" t="str"/>
      <x:c r="O89" s="2" t="str">
        <x:f>IF(AND(OR(L89="",_xlfn.IFNA(VLOOKUP(L89,$A$6:$H$88,8,FALSE),"Missing")="Verified"),OR(M89="",_xlfn.IFNA(VLOOKUP(M89,$A$6:$H$88,8,FALSE),"Missing")="Verified"),OR(N89="",_xlfn.IFNA(VLOOKUP(N89,$A$6:$H$88,8,FALSE),"Missing")="Verified")),"Ready","Dependency open")</x:f>
        <x:v>Dependency open</x:v>
      </x:c>
      <x:c r="P89" s="8" t="str">
        <x:v>Capacity, diet, window and transport confirmed independently</x:v>
      </x:c>
      <x:c r="Q89" s="8" t="str">
        <x:v>Acceptance records</x:v>
      </x:c>
      <x:c r="R89" s="9"/>
      <x:c r="S89" s="9" t="n">
        <x:v>6000</x:v>
      </x:c>
      <x:c r="T89" s="2" t="str">
        <x:v>J-R01 / REQ-POL-01</x:v>
      </x:c>
      <x:c r="U89" s="8" t="str">
        <x:v>Proposed work; implementation not authorized by this documentation request.</x:v>
      </x:c>
      <x:c r="V89" s="2" t="str">
        <x:v>Expansion</x:v>
      </x:c>
    </x:row>
    <x:row r="90" ht="60" customHeight="1">
      <x:c r="A90" s="2" t="str">
        <x:v>P06.02.03</x:v>
      </x:c>
      <x:c r="B90" s="2" t="str">
        <x:v>P06</x:v>
      </x:c>
      <x:c r="C90" s="8" t="str">
        <x:v>P06.02 Capacity and agreements</x:v>
      </x:c>
      <x:c r="D90" s="8" t="str">
        <x:v>Create scoped cross-tenant offer projection</x:v>
      </x:c>
      <x:c r="E90" s="8" t="str">
        <x:v>Partner operations lead</x:v>
      </x:c>
      <x:c r="F90" s="8" t="str">
        <x:v>Not started</x:v>
      </x:c>
      <x:c r="G90" s="4" t="b">
        <x:v>0</x:v>
      </x:c>
      <x:c r="H90" s="2" t="str">
        <x:f>IF(COUNTIFS($A$6:$A$161,A90)&lt;&gt;1,"Duplicate ID",IF(O90&lt;&gt;"Ready","Dependency open",IF(G90=TRUE,IF(AND(F90="Complete",I90&lt;&gt;"",J90&lt;&gt;"",K90&lt;&gt;""),"Verified","Evidence required"),IF(F90="Complete","Check completion",IF(F90="Blocked","Blocked",IF(F90="In progress","In progress",IF(F90="In review","In review","Open")))))))</x:f>
        <x:v>Dependency open</x:v>
      </x:c>
      <x:c r="I90" s="2" t="str"/>
      <x:c r="J90" s="2" t="str"/>
      <x:c r="K90" s="2" t="str"/>
      <x:c r="L90" s="2" t="str">
        <x:v>P06.02.02</x:v>
      </x:c>
      <x:c r="M90" s="2" t="str"/>
      <x:c r="N90" s="2" t="str"/>
      <x:c r="O90" s="2" t="str">
        <x:f>IF(AND(OR(L90="",_xlfn.IFNA(VLOOKUP(L90,$A$6:$H$89,8,FALSE),"Missing")="Verified"),OR(M90="",_xlfn.IFNA(VLOOKUP(M90,$A$6:$H$89,8,FALSE),"Missing")="Verified"),OR(N90="",_xlfn.IFNA(VLOOKUP(N90,$A$6:$H$89,8,FALSE),"Missing")="Verified")),"Ready","Dependency open")</x:f>
        <x:v>Dependency open</x:v>
      </x:c>
      <x:c r="P90" s="8" t="str">
        <x:v>Only approved fields shared; no donor inventory disclosure</x:v>
      </x:c>
      <x:c r="Q90" s="8" t="str">
        <x:v>Sharing security review</x:v>
      </x:c>
      <x:c r="R90" s="9"/>
      <x:c r="S90" s="9" t="n">
        <x:v>6000</x:v>
      </x:c>
      <x:c r="T90" s="2" t="str">
        <x:v>J-R01 / REQ-POL-01</x:v>
      </x:c>
      <x:c r="U90" s="8" t="str">
        <x:v>Proposed work; implementation not authorized by this documentation request.</x:v>
      </x:c>
      <x:c r="V90" s="2" t="str">
        <x:v>Expansion</x:v>
      </x:c>
    </x:row>
    <x:row r="91" ht="60" customHeight="1">
      <x:c r="A91" s="2" t="str">
        <x:v>P06.02.04</x:v>
      </x:c>
      <x:c r="B91" s="2" t="str">
        <x:v>P06</x:v>
      </x:c>
      <x:c r="C91" s="8" t="str">
        <x:v>P06.02 Capacity and agreements</x:v>
      </x:c>
      <x:c r="D91" s="8" t="str">
        <x:v>Reserve capacity and revalidate at approval</x:v>
      </x:c>
      <x:c r="E91" s="8" t="str">
        <x:v>Partner operations lead</x:v>
      </x:c>
      <x:c r="F91" s="8" t="str">
        <x:v>Not started</x:v>
      </x:c>
      <x:c r="G91" s="4" t="b">
        <x:v>0</x:v>
      </x:c>
      <x:c r="H91" s="2" t="str">
        <x:f>IF(COUNTIFS($A$6:$A$161,A91)&lt;&gt;1,"Duplicate ID",IF(O91&lt;&gt;"Ready","Dependency open",IF(G91=TRUE,IF(AND(F91="Complete",I91&lt;&gt;"",J91&lt;&gt;"",K91&lt;&gt;""),"Verified","Evidence required"),IF(F91="Complete","Check completion",IF(F91="Blocked","Blocked",IF(F91="In progress","In progress",IF(F91="In review","In review","Open")))))))</x:f>
        <x:v>Dependency open</x:v>
      </x:c>
      <x:c r="I91" s="2" t="str"/>
      <x:c r="J91" s="2" t="str"/>
      <x:c r="K91" s="2" t="str"/>
      <x:c r="L91" s="2" t="str">
        <x:v>P06.02.03</x:v>
      </x:c>
      <x:c r="M91" s="2" t="str"/>
      <x:c r="N91" s="2" t="str"/>
      <x:c r="O91" s="2" t="str">
        <x:f>IF(AND(OR(L91="",_xlfn.IFNA(VLOOKUP(L91,$A$6:$H$90,8,FALSE),"Missing")="Verified"),OR(M91="",_xlfn.IFNA(VLOOKUP(M91,$A$6:$H$90,8,FALSE),"Missing")="Verified"),OR(N91="",_xlfn.IFNA(VLOOKUP(N91,$A$6:$H$90,8,FALSE),"Missing")="Verified")),"Ready","Dependency open")</x:f>
        <x:v>Dependency open</x:v>
      </x:c>
      <x:c r="P91" s="8" t="str">
        <x:v>Expiry, cancellation and concurrent claims prevent double dispatch</x:v>
      </x:c>
      <x:c r="Q91" s="8" t="str">
        <x:v>Reservation race evidence</x:v>
      </x:c>
      <x:c r="R91" s="9"/>
      <x:c r="S91" s="9" t="n">
        <x:v>6000</x:v>
      </x:c>
      <x:c r="T91" s="2" t="str">
        <x:v>J-R01 / REQ-POL-01</x:v>
      </x:c>
      <x:c r="U91" s="8" t="str">
        <x:v>Proposed work; implementation not authorized by this documentation request.</x:v>
      </x:c>
      <x:c r="V91" s="2" t="str">
        <x:v>Expansion</x:v>
      </x:c>
    </x:row>
    <x:row r="92" ht="60" customHeight="1">
      <x:c r="A92" s="2" t="str">
        <x:v>P06.03.01</x:v>
      </x:c>
      <x:c r="B92" s="2" t="str">
        <x:v>P06</x:v>
      </x:c>
      <x:c r="C92" s="8" t="str">
        <x:v>P06.03 Custody and exception handling</x:v>
      </x:c>
      <x:c r="D92" s="8" t="str">
        <x:v>Record pickup delivery and accepted mass</x:v>
      </x:c>
      <x:c r="E92" s="8" t="str">
        <x:v>Partner operations lead</x:v>
      </x:c>
      <x:c r="F92" s="8" t="str">
        <x:v>Not started</x:v>
      </x:c>
      <x:c r="G92" s="4" t="b">
        <x:v>0</x:v>
      </x:c>
      <x:c r="H92" s="2" t="str">
        <x:f>IF(COUNTIFS($A$6:$A$161,A92)&lt;&gt;1,"Duplicate ID",IF(O92&lt;&gt;"Ready","Dependency open",IF(G92=TRUE,IF(AND(F92="Complete",I92&lt;&gt;"",J92&lt;&gt;"",K92&lt;&gt;""),"Verified","Evidence required"),IF(F92="Complete","Check completion",IF(F92="Blocked","Blocked",IF(F92="In progress","In progress",IF(F92="In review","In review","Open")))))))</x:f>
        <x:v>Dependency open</x:v>
      </x:c>
      <x:c r="I92" s="2" t="str"/>
      <x:c r="J92" s="2" t="str"/>
      <x:c r="K92" s="2" t="str"/>
      <x:c r="L92" s="2" t="str">
        <x:v>P04.90.01</x:v>
      </x:c>
      <x:c r="M92" s="2" t="str"/>
      <x:c r="N92" s="2" t="str"/>
      <x:c r="O92" s="2" t="str">
        <x:f>IF(AND(OR(L92="",_xlfn.IFNA(VLOOKUP(L92,$A$6:$H$91,8,FALSE),"Missing")="Verified"),OR(M92="",_xlfn.IFNA(VLOOKUP(M92,$A$6:$H$91,8,FALSE),"Missing")="Verified"),OR(N92="",_xlfn.IFNA(VLOOKUP(N92,$A$6:$H$91,8,FALSE),"Missing")="Verified")),"Ready","Dependency open")</x:f>
        <x:v>Dependency open</x:v>
      </x:c>
      <x:c r="P92" s="8" t="str">
        <x:v>Signed actor/time/evidence at each custody change</x:v>
      </x:c>
      <x:c r="Q92" s="8" t="str">
        <x:v>Custody ledger</x:v>
      </x:c>
      <x:c r="R92" s="9"/>
      <x:c r="S92" s="9" t="n">
        <x:v>6000</x:v>
      </x:c>
      <x:c r="T92" s="2" t="str">
        <x:v>J-R01 / REQ-POL-01</x:v>
      </x:c>
      <x:c r="U92" s="8" t="str">
        <x:v>Proposed work; implementation not authorized by this documentation request.</x:v>
      </x:c>
      <x:c r="V92" s="2" t="str">
        <x:v>Expansion</x:v>
      </x:c>
    </x:row>
    <x:row r="93" ht="60" customHeight="1">
      <x:c r="A93" s="2" t="str">
        <x:v>P06.03.02</x:v>
      </x:c>
      <x:c r="B93" s="2" t="str">
        <x:v>P06</x:v>
      </x:c>
      <x:c r="C93" s="8" t="str">
        <x:v>P06.03 Custody and exception handling</x:v>
      </x:c>
      <x:c r="D93" s="8" t="str">
        <x:v>Handle partial rejection and failed delivery</x:v>
      </x:c>
      <x:c r="E93" s="8" t="str">
        <x:v>Partner operations lead</x:v>
      </x:c>
      <x:c r="F93" s="8" t="str">
        <x:v>Not started</x:v>
      </x:c>
      <x:c r="G93" s="4" t="b">
        <x:v>0</x:v>
      </x:c>
      <x:c r="H93" s="2" t="str">
        <x:f>IF(COUNTIFS($A$6:$A$161,A93)&lt;&gt;1,"Duplicate ID",IF(O93&lt;&gt;"Ready","Dependency open",IF(G93=TRUE,IF(AND(F93="Complete",I93&lt;&gt;"",J93&lt;&gt;"",K93&lt;&gt;""),"Verified","Evidence required"),IF(F93="Complete","Check completion",IF(F93="Blocked","Blocked",IF(F93="In progress","In progress",IF(F93="In review","In review","Open")))))))</x:f>
        <x:v>Dependency open</x:v>
      </x:c>
      <x:c r="I93" s="2" t="str"/>
      <x:c r="J93" s="2" t="str"/>
      <x:c r="K93" s="2" t="str"/>
      <x:c r="L93" s="2" t="str">
        <x:v>P06.03.01</x:v>
      </x:c>
      <x:c r="M93" s="2" t="str"/>
      <x:c r="N93" s="2" t="str"/>
      <x:c r="O93" s="2" t="str">
        <x:f>IF(AND(OR(L93="",_xlfn.IFNA(VLOOKUP(L93,$A$6:$H$92,8,FALSE),"Missing")="Verified"),OR(M93="",_xlfn.IFNA(VLOOKUP(M93,$A$6:$H$92,8,FALSE),"Missing")="Verified"),OR(N93="",_xlfn.IFNA(VLOOKUP(N93,$A$6:$H$92,8,FALSE),"Missing")="Verified")),"Ready","Dependency open")</x:f>
        <x:v>Dependency open</x:v>
      </x:c>
      <x:c r="P93" s="8" t="str">
        <x:v>No automatic reroute; accountable human chooses permitted disposition</x:v>
      </x:c>
      <x:c r="Q93" s="8" t="str">
        <x:v>Exception walkthrough</x:v>
      </x:c>
      <x:c r="R93" s="9"/>
      <x:c r="S93" s="9" t="n">
        <x:v>6000</x:v>
      </x:c>
      <x:c r="T93" s="2" t="str">
        <x:v>J-R01 / REQ-POL-01</x:v>
      </x:c>
      <x:c r="U93" s="8" t="str">
        <x:v>Proposed work; implementation not authorized by this documentation request.</x:v>
      </x:c>
      <x:c r="V93" s="2" t="str">
        <x:v>Expansion</x:v>
      </x:c>
    </x:row>
    <x:row r="94" ht="60" customHeight="1">
      <x:c r="A94" s="2" t="str">
        <x:v>P06.03.03</x:v>
      </x:c>
      <x:c r="B94" s="2" t="str">
        <x:v>P06</x:v>
      </x:c>
      <x:c r="C94" s="8" t="str">
        <x:v>P06.03 Custody and exception handling</x:v>
      </x:c>
      <x:c r="D94" s="8" t="str">
        <x:v>Implement withdrawal and incident escalation</x:v>
      </x:c>
      <x:c r="E94" s="8" t="str">
        <x:v>Partner operations lead</x:v>
      </x:c>
      <x:c r="F94" s="8" t="str">
        <x:v>Not started</x:v>
      </x:c>
      <x:c r="G94" s="4" t="b">
        <x:v>0</x:v>
      </x:c>
      <x:c r="H94" s="2" t="str">
        <x:f>IF(COUNTIFS($A$6:$A$161,A94)&lt;&gt;1,"Duplicate ID",IF(O94&lt;&gt;"Ready","Dependency open",IF(G94=TRUE,IF(AND(F94="Complete",I94&lt;&gt;"",J94&lt;&gt;"",K94&lt;&gt;""),"Verified","Evidence required"),IF(F94="Complete","Check completion",IF(F94="Blocked","Blocked",IF(F94="In progress","In progress",IF(F94="In review","In review","Open")))))))</x:f>
        <x:v>Dependency open</x:v>
      </x:c>
      <x:c r="I94" s="2" t="str"/>
      <x:c r="J94" s="2" t="str"/>
      <x:c r="K94" s="2" t="str"/>
      <x:c r="L94" s="2" t="str">
        <x:v>P06.03.02</x:v>
      </x:c>
      <x:c r="M94" s="2" t="str"/>
      <x:c r="N94" s="2" t="str"/>
      <x:c r="O94" s="2" t="str">
        <x:f>IF(AND(OR(L94="",_xlfn.IFNA(VLOOKUP(L94,$A$6:$H$93,8,FALSE),"Missing")="Verified"),OR(M94="",_xlfn.IFNA(VLOOKUP(M94,$A$6:$H$93,8,FALSE),"Missing")="Verified"),OR(N94="",_xlfn.IFNA(VLOOKUP(N94,$A$6:$H$93,8,FALSE),"Missing")="Verified")),"Ready","Dependency open")</x:f>
        <x:v>Dependency open</x:v>
      </x:c>
      <x:c r="P94" s="8" t="str">
        <x:v>Revoked offers cannot dispatch; incidents linked to affected batches</x:v>
      </x:c>
      <x:c r="Q94" s="8" t="str">
        <x:v>Recall/escalation evidence</x:v>
      </x:c>
      <x:c r="R94" s="9"/>
      <x:c r="S94" s="9" t="n">
        <x:v>6000</x:v>
      </x:c>
      <x:c r="T94" s="2" t="str">
        <x:v>J-R01 / REQ-POL-01</x:v>
      </x:c>
      <x:c r="U94" s="8" t="str">
        <x:v>Proposed work; implementation not authorized by this documentation request.</x:v>
      </x:c>
      <x:c r="V94" s="2" t="str">
        <x:v>Expansion</x:v>
      </x:c>
    </x:row>
    <x:row r="95" ht="60" customHeight="1">
      <x:c r="A95" s="2" t="str">
        <x:v>P06.03.04</x:v>
      </x:c>
      <x:c r="B95" s="2" t="str">
        <x:v>P06</x:v>
      </x:c>
      <x:c r="C95" s="8" t="str">
        <x:v>P06.03 Custody and exception handling</x:v>
      </x:c>
      <x:c r="D95" s="8" t="str">
        <x:v>Run simulation before any live pilot</x:v>
      </x:c>
      <x:c r="E95" s="8" t="str">
        <x:v>Partner operations lead</x:v>
      </x:c>
      <x:c r="F95" s="8" t="str">
        <x:v>Not started</x:v>
      </x:c>
      <x:c r="G95" s="4" t="b">
        <x:v>0</x:v>
      </x:c>
      <x:c r="H95" s="2" t="str">
        <x:f>IF(COUNTIFS($A$6:$A$161,A95)&lt;&gt;1,"Duplicate ID",IF(O95&lt;&gt;"Ready","Dependency open",IF(G95=TRUE,IF(AND(F95="Complete",I95&lt;&gt;"",J95&lt;&gt;"",K95&lt;&gt;""),"Verified","Evidence required"),IF(F95="Complete","Check completion",IF(F95="Blocked","Blocked",IF(F95="In progress","In progress",IF(F95="In review","In review","Open")))))))</x:f>
        <x:v>Dependency open</x:v>
      </x:c>
      <x:c r="I95" s="2" t="str"/>
      <x:c r="J95" s="2" t="str"/>
      <x:c r="K95" s="2" t="str"/>
      <x:c r="L95" s="2" t="str">
        <x:v>P06.03.03</x:v>
      </x:c>
      <x:c r="M95" s="2" t="str"/>
      <x:c r="N95" s="2" t="str"/>
      <x:c r="O95" s="2" t="str">
        <x:f>IF(AND(OR(L95="",_xlfn.IFNA(VLOOKUP(L95,$A$6:$H$94,8,FALSE),"Missing")="Verified"),OR(M95="",_xlfn.IFNA(VLOOKUP(M95,$A$6:$H$94,8,FALSE),"Missing")="Verified"),OR(N95="",_xlfn.IFNA(VLOOKUP(N95,$A$6:$H$94,8,FALSE),"Missing")="Verified")),"Ready","Dependency open")</x:f>
        <x:v>Dependency open</x:v>
      </x:c>
      <x:c r="P95" s="8" t="str">
        <x:v>R-lane red-team cases pass and physical partner authorization explicit</x:v>
      </x:c>
      <x:c r="Q95" s="8" t="str">
        <x:v>Recovery pilot readiness report</x:v>
      </x:c>
      <x:c r="R95" s="9"/>
      <x:c r="S95" s="9" t="n">
        <x:v>6000</x:v>
      </x:c>
      <x:c r="T95" s="2" t="str">
        <x:v>J-R01 / REQ-POL-01</x:v>
      </x:c>
      <x:c r="U95" s="8" t="str">
        <x:v>Proposed work; implementation not authorized by this documentation request.</x:v>
      </x:c>
      <x:c r="V95" s="2" t="str">
        <x:v>Expansion</x:v>
      </x:c>
    </x:row>
    <x:row r="96" ht="60" customHeight="1">
      <x:c r="A96" s="2" t="str">
        <x:v>P06.90.01</x:v>
      </x:c>
      <x:c r="B96" s="2" t="str">
        <x:v>P06</x:v>
      </x:c>
      <x:c r="C96" s="8" t="str">
        <x:v>P06.90 Phase gate</x:v>
      </x:c>
      <x:c r="D96" s="8" t="str">
        <x:v>Review and accept qualified recovery coordination</x:v>
      </x:c>
      <x:c r="E96" s="8" t="str">
        <x:v>Product owner + independent reviewer</x:v>
      </x:c>
      <x:c r="F96" s="8" t="str">
        <x:v>Not started</x:v>
      </x:c>
      <x:c r="G96" s="4" t="b">
        <x:v>0</x:v>
      </x:c>
      <x:c r="H96" s="2" t="str">
        <x:f>IF(COUNTIFS($A$6:$A$161,A96)&lt;&gt;1,"Duplicate ID",IF(O96&lt;&gt;"Ready","Dependency open",IF(G96=TRUE,IF(AND(F96="Complete",I96&lt;&gt;"",J96&lt;&gt;"",K96&lt;&gt;""),"Verified","Evidence required"),IF(F96="Complete","Check completion",IF(F96="Blocked","Blocked",IF(F96="In progress","In progress",IF(F96="In review","In review","Open")))))))</x:f>
        <x:v>Dependency open</x:v>
      </x:c>
      <x:c r="I96" s="2" t="str"/>
      <x:c r="J96" s="2" t="str"/>
      <x:c r="K96" s="2" t="str"/>
      <x:c r="L96" s="2" t="str">
        <x:v>P06.01.04</x:v>
      </x:c>
      <x:c r="M96" s="2" t="str">
        <x:v>P06.02.04</x:v>
      </x:c>
      <x:c r="N96" s="2" t="str">
        <x:v>P06.03.04</x:v>
      </x:c>
      <x:c r="O96" s="2" t="str">
        <x:f>IF(AND(OR(L96="",_xlfn.IFNA(VLOOKUP(L96,$A$6:$H$95,8,FALSE),"Missing")="Verified"),OR(M96="",_xlfn.IFNA(VLOOKUP(M96,$A$6:$H$95,8,FALSE),"Missing")="Verified"),OR(N96="",_xlfn.IFNA(VLOOKUP(N96,$A$6:$H$95,8,FALSE),"Missing")="Verified")),"Ready","Dependency open")</x:f>
        <x:v>Dependency open</x:v>
      </x:c>
      <x:c r="P96" s="8" t="str">
        <x:v>All prerequisites verified; critical risks closed or explicitly rejected for rollout; human records go/revise/stop decision.</x:v>
      </x:c>
      <x:c r="Q96" s="8" t="str">
        <x:v>Phase gate record with reviewer, evidence links, residual risks and next scope</x:v>
      </x:c>
      <x:c r="R96" s="9"/>
      <x:c r="S96" s="9" t="n">
        <x:v>4000</x:v>
      </x:c>
      <x:c r="T96" s="2" t="str">
        <x:v>P06-GATE</x:v>
      </x:c>
      <x:c r="U96" s="8" t="str">
        <x:v>Unchecked until phase evidence is reviewed. A written plan is not implementation evidence.</x:v>
      </x:c>
      <x:c r="V96" s="2" t="str">
        <x:v>Expansion</x:v>
      </x:c>
    </x:row>
    <x:row r="97" ht="60" customHeight="1">
      <x:c r="A97" s="2" t="str">
        <x:v>P07.01.01</x:v>
      </x:c>
      <x:c r="B97" s="2" t="str">
        <x:v>P07</x:v>
      </x:c>
      <x:c r="C97" s="8" t="str">
        <x:v>P07.01 Accepted loads</x:v>
      </x:c>
      <x:c r="D97" s="8" t="str">
        <x:v>Verify local operator and accepted-material rules</x:v>
      </x:c>
      <x:c r="E97" s="8" t="str">
        <x:v>Processor partner lead</x:v>
      </x:c>
      <x:c r="F97" s="8" t="str">
        <x:v>Not started</x:v>
      </x:c>
      <x:c r="G97" s="4" t="b">
        <x:v>0</x:v>
      </x:c>
      <x:c r="H97" s="2" t="str">
        <x:f>IF(COUNTIFS($A$6:$A$161,A97)&lt;&gt;1,"Duplicate ID",IF(O97&lt;&gt;"Ready","Dependency open",IF(G97=TRUE,IF(AND(F97="Complete",I97&lt;&gt;"",J97&lt;&gt;"",K97&lt;&gt;""),"Verified","Evidence required"),IF(F97="Complete","Check completion",IF(F97="Blocked","Blocked",IF(F97="In progress","In progress",IF(F97="In review","In review","Open")))))))</x:f>
        <x:v>Dependency open</x:v>
      </x:c>
      <x:c r="I97" s="2" t="str"/>
      <x:c r="J97" s="2" t="str"/>
      <x:c r="K97" s="2" t="str"/>
      <x:c r="L97" s="2" t="str">
        <x:v>P06.90.01</x:v>
      </x:c>
      <x:c r="M97" s="2" t="str"/>
      <x:c r="N97" s="2" t="str"/>
      <x:c r="O97" s="2" t="str">
        <x:f>IF(AND(OR(L97="",_xlfn.IFNA(VLOOKUP(L97,$A$6:$H$96,8,FALSE),"Missing")="Verified"),OR(M97="",_xlfn.IFNA(VLOOKUP(M97,$A$6:$H$96,8,FALSE),"Missing")="Verified"),OR(N97="",_xlfn.IFNA(VLOOKUP(N97,$A$6:$H$96,8,FALSE),"Missing")="Verified")),"Ready","Dependency open")</x:f>
        <x:v>Dependency open</x:v>
      </x:c>
      <x:c r="P97" s="8" t="str">
        <x:v>Operator authorization and exclusions documented per site</x:v>
      </x:c>
      <x:c r="Q97" s="8" t="str">
        <x:v>Operator/policy record</x:v>
      </x:c>
      <x:c r="R97" s="9"/>
      <x:c r="S97" s="9" t="n">
        <x:v>6000</x:v>
      </x:c>
      <x:c r="T97" s="2" t="str">
        <x:v>J-O01 / REQ-IMPACT-01</x:v>
      </x:c>
      <x:c r="U97" s="8" t="str">
        <x:v>Proposed work; implementation not authorized by this documentation request.</x:v>
      </x:c>
      <x:c r="V97" s="2" t="str">
        <x:v>Expansion</x:v>
      </x:c>
    </x:row>
    <x:row r="98" ht="60" customHeight="1">
      <x:c r="A98" s="2" t="str">
        <x:v>P07.01.02</x:v>
      </x:c>
      <x:c r="B98" s="2" t="str">
        <x:v>P07</x:v>
      </x:c>
      <x:c r="C98" s="8" t="str">
        <x:v>P07.01 Accepted loads</x:v>
      </x:c>
      <x:c r="D98" s="8" t="str">
        <x:v>Capture segregated source load</x:v>
      </x:c>
      <x:c r="E98" s="8" t="str">
        <x:v>Processor partner lead</x:v>
      </x:c>
      <x:c r="F98" s="8" t="str">
        <x:v>Not started</x:v>
      </x:c>
      <x:c r="G98" s="4" t="b">
        <x:v>0</x:v>
      </x:c>
      <x:c r="H98" s="2" t="str">
        <x:f>IF(COUNTIFS($A$6:$A$161,A98)&lt;&gt;1,"Duplicate ID",IF(O98&lt;&gt;"Ready","Dependency open",IF(G98=TRUE,IF(AND(F98="Complete",I98&lt;&gt;"",J98&lt;&gt;"",K98&lt;&gt;""),"Verified","Evidence required"),IF(F98="Complete","Check completion",IF(F98="Blocked","Blocked",IF(F98="In progress","In progress",IF(F98="In review","In review","Open")))))))</x:f>
        <x:v>Dependency open</x:v>
      </x:c>
      <x:c r="I98" s="2" t="str"/>
      <x:c r="J98" s="2" t="str"/>
      <x:c r="K98" s="2" t="str"/>
      <x:c r="L98" s="2" t="str">
        <x:v>P07.01.01</x:v>
      </x:c>
      <x:c r="M98" s="2" t="str"/>
      <x:c r="N98" s="2" t="str"/>
      <x:c r="O98" s="2" t="str">
        <x:f>IF(AND(OR(L98="",_xlfn.IFNA(VLOOKUP(L98,$A$6:$H$97,8,FALSE),"Missing")="Verified"),OR(M98="",_xlfn.IFNA(VLOOKUP(M98,$A$6:$H$97,8,FALSE),"Missing")="Verified"),OR(N98="",_xlfn.IFNA(VLOOKUP(N98,$A$6:$H$97,8,FALSE),"Missing")="Verified")),"Ready","Dependency open")</x:f>
        <x:v>Dependency open</x:v>
      </x:c>
      <x:c r="P98" s="8" t="str">
        <x:v>Origin, category, quantity and contaminated fraction explicit</x:v>
      </x:c>
      <x:c r="Q98" s="8" t="str">
        <x:v>J-O01 load record</x:v>
      </x:c>
      <x:c r="R98" s="9"/>
      <x:c r="S98" s="9" t="n">
        <x:v>6000</x:v>
      </x:c>
      <x:c r="T98" s="2" t="str">
        <x:v>J-O01 / REQ-IMPACT-01</x:v>
      </x:c>
      <x:c r="U98" s="8" t="str">
        <x:v>Proposed work; implementation not authorized by this documentation request.</x:v>
      </x:c>
      <x:c r="V98" s="2" t="str">
        <x:v>Expansion</x:v>
      </x:c>
    </x:row>
    <x:row r="99" ht="60" customHeight="1">
      <x:c r="A99" s="2" t="str">
        <x:v>P07.01.03</x:v>
      </x:c>
      <x:c r="B99" s="2" t="str">
        <x:v>P07</x:v>
      </x:c>
      <x:c r="C99" s="8" t="str">
        <x:v>P07.01 Accepted loads</x:v>
      </x:c>
      <x:c r="D99" s="8" t="str">
        <x:v>Record calibrated gross tare and net weights</x:v>
      </x:c>
      <x:c r="E99" s="8" t="str">
        <x:v>Processor partner lead</x:v>
      </x:c>
      <x:c r="F99" s="8" t="str">
        <x:v>Not started</x:v>
      </x:c>
      <x:c r="G99" s="4" t="b">
        <x:v>0</x:v>
      </x:c>
      <x:c r="H99" s="2" t="str">
        <x:f>IF(COUNTIFS($A$6:$A$161,A99)&lt;&gt;1,"Duplicate ID",IF(O99&lt;&gt;"Ready","Dependency open",IF(G99=TRUE,IF(AND(F99="Complete",I99&lt;&gt;"",J99&lt;&gt;"",K99&lt;&gt;""),"Verified","Evidence required"),IF(F99="Complete","Check completion",IF(F99="Blocked","Blocked",IF(F99="In progress","In progress",IF(F99="In review","In review","Open")))))))</x:f>
        <x:v>Dependency open</x:v>
      </x:c>
      <x:c r="I99" s="2" t="str"/>
      <x:c r="J99" s="2" t="str"/>
      <x:c r="K99" s="2" t="str"/>
      <x:c r="L99" s="2" t="str">
        <x:v>P07.01.02</x:v>
      </x:c>
      <x:c r="M99" s="2" t="str"/>
      <x:c r="N99" s="2" t="str"/>
      <x:c r="O99" s="2" t="str">
        <x:f>IF(AND(OR(L99="",_xlfn.IFNA(VLOOKUP(L99,$A$6:$H$98,8,FALSE),"Missing")="Verified"),OR(M99="",_xlfn.IFNA(VLOOKUP(M99,$A$6:$H$98,8,FALSE),"Missing")="Verified"),OR(N99="",_xlfn.IFNA(VLOOKUP(N99,$A$6:$H$98,8,FALSE),"Missing")="Verified")),"Ready","Dependency open")</x:f>
        <x:v>Dependency open</x:v>
      </x:c>
      <x:c r="P99" s="8" t="str">
        <x:v>Units, scale, timestamp and operator attestation preserved</x:v>
      </x:c>
      <x:c r="Q99" s="8" t="str">
        <x:v>Weigh ticket</x:v>
      </x:c>
      <x:c r="R99" s="9"/>
      <x:c r="S99" s="9" t="n">
        <x:v>6000</x:v>
      </x:c>
      <x:c r="T99" s="2" t="str">
        <x:v>J-O01 / REQ-IMPACT-01</x:v>
      </x:c>
      <x:c r="U99" s="8" t="str">
        <x:v>Proposed work; implementation not authorized by this documentation request.</x:v>
      </x:c>
      <x:c r="V99" s="2" t="str">
        <x:v>Expansion</x:v>
      </x:c>
    </x:row>
    <x:row r="100" ht="60" customHeight="1">
      <x:c r="A100" s="2" t="str">
        <x:v>P07.01.04</x:v>
      </x:c>
      <x:c r="B100" s="2" t="str">
        <x:v>P07</x:v>
      </x:c>
      <x:c r="C100" s="8" t="str">
        <x:v>P07.01 Accepted loads</x:v>
      </x:c>
      <x:c r="D100" s="8" t="str">
        <x:v>Reject contaminated or unauthorized collection</x:v>
      </x:c>
      <x:c r="E100" s="8" t="str">
        <x:v>Processor partner lead</x:v>
      </x:c>
      <x:c r="F100" s="8" t="str">
        <x:v>Not started</x:v>
      </x:c>
      <x:c r="G100" s="4" t="b">
        <x:v>0</x:v>
      </x:c>
      <x:c r="H100" s="2" t="str">
        <x:f>IF(COUNTIFS($A$6:$A$161,A100)&lt;&gt;1,"Duplicate ID",IF(O100&lt;&gt;"Ready","Dependency open",IF(G100=TRUE,IF(AND(F100="Complete",I100&lt;&gt;"",J100&lt;&gt;"",K100&lt;&gt;""),"Verified","Evidence required"),IF(F100="Complete","Check completion",IF(F100="Blocked","Blocked",IF(F100="In progress","In progress",IF(F100="In review","In review","Open")))))))</x:f>
        <x:v>Dependency open</x:v>
      </x:c>
      <x:c r="I100" s="2" t="str"/>
      <x:c r="J100" s="2" t="str"/>
      <x:c r="K100" s="2" t="str"/>
      <x:c r="L100" s="2" t="str">
        <x:v>P07.01.03</x:v>
      </x:c>
      <x:c r="M100" s="2" t="str"/>
      <x:c r="N100" s="2" t="str"/>
      <x:c r="O100" s="2" t="str">
        <x:f>IF(AND(OR(L100="",_xlfn.IFNA(VLOOKUP(L100,$A$6:$H$99,8,FALSE),"Missing")="Verified"),OR(M100="",_xlfn.IFNA(VLOOKUP(M100,$A$6:$H$99,8,FALSE),"Missing")="Verified"),OR(N100="",_xlfn.IFNA(VLOOKUP(N100,$A$6:$H$99,8,FALSE),"Missing")="Verified")),"Ready","Dependency open")</x:f>
        <x:v>Dependency open</x:v>
      </x:c>
      <x:c r="P100" s="8" t="str">
        <x:v>No assumed composting route for every organic material</x:v>
      </x:c>
      <x:c r="Q100" s="8" t="str">
        <x:v>Load rejection evidence</x:v>
      </x:c>
      <x:c r="R100" s="9"/>
      <x:c r="S100" s="9" t="n">
        <x:v>6000</x:v>
      </x:c>
      <x:c r="T100" s="2" t="str">
        <x:v>J-O01 / REQ-IMPACT-01</x:v>
      </x:c>
      <x:c r="U100" s="8" t="str">
        <x:v>Proposed work; implementation not authorized by this documentation request.</x:v>
      </x:c>
      <x:c r="V100" s="2" t="str">
        <x:v>Expansion</x:v>
      </x:c>
    </x:row>
    <x:row r="101" ht="60" customHeight="1">
      <x:c r="A101" s="2" t="str">
        <x:v>P07.02.01</x:v>
      </x:c>
      <x:c r="B101" s="2" t="str">
        <x:v>P07</x:v>
      </x:c>
      <x:c r="C101" s="8" t="str">
        <x:v>P07.02 Processing chain</x:v>
      </x:c>
      <x:c r="D101" s="8" t="str">
        <x:v>Record collected accepted rejected and processed stages</x:v>
      </x:c>
      <x:c r="E101" s="8" t="str">
        <x:v>Backend/operations team</x:v>
      </x:c>
      <x:c r="F101" s="8" t="str">
        <x:v>Not started</x:v>
      </x:c>
      <x:c r="G101" s="4" t="b">
        <x:v>0</x:v>
      </x:c>
      <x:c r="H101" s="2" t="str">
        <x:f>IF(COUNTIFS($A$6:$A$161,A101)&lt;&gt;1,"Duplicate ID",IF(O101&lt;&gt;"Ready","Dependency open",IF(G101=TRUE,IF(AND(F101="Complete",I101&lt;&gt;"",J101&lt;&gt;"",K101&lt;&gt;""),"Verified","Evidence required"),IF(F101="Complete","Check completion",IF(F101="Blocked","Blocked",IF(F101="In progress","In progress",IF(F101="In review","In review","Open")))))))</x:f>
        <x:v>Dependency open</x:v>
      </x:c>
      <x:c r="I101" s="2" t="str"/>
      <x:c r="J101" s="2" t="str"/>
      <x:c r="K101" s="2" t="str"/>
      <x:c r="L101" s="2" t="str">
        <x:v>P06.90.01</x:v>
      </x:c>
      <x:c r="M101" s="2" t="str"/>
      <x:c r="N101" s="2" t="str"/>
      <x:c r="O101" s="2" t="str">
        <x:f>IF(AND(OR(L101="",_xlfn.IFNA(VLOOKUP(L101,$A$6:$H$100,8,FALSE),"Missing")="Verified"),OR(M101="",_xlfn.IFNA(VLOOKUP(M101,$A$6:$H$100,8,FALSE),"Missing")="Verified"),OR(N101="",_xlfn.IFNA(VLOOKUP(N101,$A$6:$H$100,8,FALSE),"Missing")="Verified")),"Ready","Dependency open")</x:f>
        <x:v>Dependency open</x:v>
      </x:c>
      <x:c r="P101" s="8" t="str">
        <x:v>Each stage separate; pickup never treated as processing</x:v>
      </x:c>
      <x:c r="Q101" s="8" t="str">
        <x:v>Stage ledger</x:v>
      </x:c>
      <x:c r="R101" s="9"/>
      <x:c r="S101" s="9" t="n">
        <x:v>6000</x:v>
      </x:c>
      <x:c r="T101" s="2" t="str">
        <x:v>J-O01 / REQ-IMPACT-01</x:v>
      </x:c>
      <x:c r="U101" s="8" t="str">
        <x:v>Proposed work; implementation not authorized by this documentation request.</x:v>
      </x:c>
      <x:c r="V101" s="2" t="str">
        <x:v>Expansion</x:v>
      </x:c>
    </x:row>
    <x:row r="102" ht="60" customHeight="1">
      <x:c r="A102" s="2" t="str">
        <x:v>P07.02.02</x:v>
      </x:c>
      <x:c r="B102" s="2" t="str">
        <x:v>P07</x:v>
      </x:c>
      <x:c r="C102" s="8" t="str">
        <x:v>P07.02 Processing chain</x:v>
      </x:c>
      <x:c r="D102" s="8" t="str">
        <x:v>Support partial acceptance and transfer reconciliation</x:v>
      </x:c>
      <x:c r="E102" s="8" t="str">
        <x:v>Backend/operations team</x:v>
      </x:c>
      <x:c r="F102" s="8" t="str">
        <x:v>Not started</x:v>
      </x:c>
      <x:c r="G102" s="4" t="b">
        <x:v>0</x:v>
      </x:c>
      <x:c r="H102" s="2" t="str">
        <x:f>IF(COUNTIFS($A$6:$A$161,A102)&lt;&gt;1,"Duplicate ID",IF(O102&lt;&gt;"Ready","Dependency open",IF(G102=TRUE,IF(AND(F102="Complete",I102&lt;&gt;"",J102&lt;&gt;"",K102&lt;&gt;""),"Verified","Evidence required"),IF(F102="Complete","Check completion",IF(F102="Blocked","Blocked",IF(F102="In progress","In progress",IF(F102="In review","In review","Open")))))))</x:f>
        <x:v>Dependency open</x:v>
      </x:c>
      <x:c r="I102" s="2" t="str"/>
      <x:c r="J102" s="2" t="str"/>
      <x:c r="K102" s="2" t="str"/>
      <x:c r="L102" s="2" t="str">
        <x:v>P07.02.01</x:v>
      </x:c>
      <x:c r="M102" s="2" t="str"/>
      <x:c r="N102" s="2" t="str"/>
      <x:c r="O102" s="2" t="str">
        <x:f>IF(AND(OR(L102="",_xlfn.IFNA(VLOOKUP(L102,$A$6:$H$101,8,FALSE),"Missing")="Verified"),OR(M102="",_xlfn.IFNA(VLOOKUP(M102,$A$6:$H$101,8,FALSE),"Missing")="Verified"),OR(N102="",_xlfn.IFNA(VLOOKUP(N102,$A$6:$H$101,8,FALSE),"Missing")="Verified")),"Ready","Dependency open")</x:f>
        <x:v>Dependency open</x:v>
      </x:c>
      <x:c r="P102" s="8" t="str">
        <x:v>No duplicate mass across operator and collector views</x:v>
      </x:c>
      <x:c r="Q102" s="8" t="str">
        <x:v>Partial-load cases</x:v>
      </x:c>
      <x:c r="R102" s="9"/>
      <x:c r="S102" s="9" t="n">
        <x:v>6000</x:v>
      </x:c>
      <x:c r="T102" s="2" t="str">
        <x:v>J-O01 / REQ-IMPACT-01</x:v>
      </x:c>
      <x:c r="U102" s="8" t="str">
        <x:v>Proposed work; implementation not authorized by this documentation request.</x:v>
      </x:c>
      <x:c r="V102" s="2" t="str">
        <x:v>Expansion</x:v>
      </x:c>
    </x:row>
    <x:row r="103" ht="60" customHeight="1">
      <x:c r="A103" s="2" t="str">
        <x:v>P07.02.03</x:v>
      </x:c>
      <x:c r="B103" s="2" t="str">
        <x:v>P07</x:v>
      </x:c>
      <x:c r="C103" s="8" t="str">
        <x:v>P07.02 Processing chain</x:v>
      </x:c>
      <x:c r="D103" s="8" t="str">
        <x:v>Record process outputs moisture and unresolved residual</x:v>
      </x:c>
      <x:c r="E103" s="8" t="str">
        <x:v>Backend/operations team</x:v>
      </x:c>
      <x:c r="F103" s="8" t="str">
        <x:v>Not started</x:v>
      </x:c>
      <x:c r="G103" s="4" t="b">
        <x:v>0</x:v>
      </x:c>
      <x:c r="H103" s="2" t="str">
        <x:f>IF(COUNTIFS($A$6:$A$161,A103)&lt;&gt;1,"Duplicate ID",IF(O103&lt;&gt;"Ready","Dependency open",IF(G103=TRUE,IF(AND(F103="Complete",I103&lt;&gt;"",J103&lt;&gt;"",K103&lt;&gt;""),"Verified","Evidence required"),IF(F103="Complete","Check completion",IF(F103="Blocked","Blocked",IF(F103="In progress","In progress",IF(F103="In review","In review","Open")))))))</x:f>
        <x:v>Dependency open</x:v>
      </x:c>
      <x:c r="I103" s="2" t="str"/>
      <x:c r="J103" s="2" t="str"/>
      <x:c r="K103" s="2" t="str"/>
      <x:c r="L103" s="2" t="str">
        <x:v>P07.02.02</x:v>
      </x:c>
      <x:c r="M103" s="2" t="str"/>
      <x:c r="N103" s="2" t="str"/>
      <x:c r="O103" s="2" t="str">
        <x:f>IF(AND(OR(L103="",_xlfn.IFNA(VLOOKUP(L103,$A$6:$H$102,8,FALSE),"Missing")="Verified"),OR(M103="",_xlfn.IFNA(VLOOKUP(M103,$A$6:$H$102,8,FALSE),"Missing")="Verified"),OR(N103="",_xlfn.IFNA(VLOOKUP(N103,$A$6:$H$102,8,FALSE),"Missing")="Verified")),"Ready","Dependency open")</x:f>
        <x:v>Dependency open</x:v>
      </x:c>
      <x:c r="P103" s="8" t="str">
        <x:v>Boundary/time basis explicit; no naive wet-to-dry equality</x:v>
      </x:c>
      <x:c r="Q103" s="8" t="str">
        <x:v>Mass-balance analysis</x:v>
      </x:c>
      <x:c r="R103" s="9"/>
      <x:c r="S103" s="9" t="n">
        <x:v>6000</x:v>
      </x:c>
      <x:c r="T103" s="2" t="str">
        <x:v>J-O01 / REQ-IMPACT-01</x:v>
      </x:c>
      <x:c r="U103" s="8" t="str">
        <x:v>Proposed work; implementation not authorized by this documentation request.</x:v>
      </x:c>
      <x:c r="V103" s="2" t="str">
        <x:v>Expansion</x:v>
      </x:c>
    </x:row>
    <x:row r="104" ht="60" customHeight="1">
      <x:c r="A104" s="2" t="str">
        <x:v>P07.02.04</x:v>
      </x:c>
      <x:c r="B104" s="2" t="str">
        <x:v>P07</x:v>
      </x:c>
      <x:c r="C104" s="8" t="str">
        <x:v>P07.02 Processing chain</x:v>
      </x:c>
      <x:c r="D104" s="8" t="str">
        <x:v>Attach auditable processor receipt</x:v>
      </x:c>
      <x:c r="E104" s="8" t="str">
        <x:v>Backend/operations team</x:v>
      </x:c>
      <x:c r="F104" s="8" t="str">
        <x:v>Not started</x:v>
      </x:c>
      <x:c r="G104" s="4" t="b">
        <x:v>0</x:v>
      </x:c>
      <x:c r="H104" s="2" t="str">
        <x:f>IF(COUNTIFS($A$6:$A$161,A104)&lt;&gt;1,"Duplicate ID",IF(O104&lt;&gt;"Ready","Dependency open",IF(G104=TRUE,IF(AND(F104="Complete",I104&lt;&gt;"",J104&lt;&gt;"",K104&lt;&gt;""),"Verified","Evidence required"),IF(F104="Complete","Check completion",IF(F104="Blocked","Blocked",IF(F104="In progress","In progress",IF(F104="In review","In review","Open")))))))</x:f>
        <x:v>Dependency open</x:v>
      </x:c>
      <x:c r="I104" s="2" t="str"/>
      <x:c r="J104" s="2" t="str"/>
      <x:c r="K104" s="2" t="str"/>
      <x:c r="L104" s="2" t="str">
        <x:v>P07.02.03</x:v>
      </x:c>
      <x:c r="M104" s="2" t="str"/>
      <x:c r="N104" s="2" t="str"/>
      <x:c r="O104" s="2" t="str">
        <x:f>IF(AND(OR(L104="",_xlfn.IFNA(VLOOKUP(L104,$A$6:$H$103,8,FALSE),"Missing")="Verified"),OR(M104="",_xlfn.IFNA(VLOOKUP(M104,$A$6:$H$103,8,FALSE),"Missing")="Verified"),OR(N104="",_xlfn.IFNA(VLOOKUP(N104,$A$6:$H$103,8,FALSE),"Missing")="Verified")),"Ready","Dependency open")</x:f>
        <x:v>Dependency open</x:v>
      </x:c>
      <x:c r="P104" s="8" t="str">
        <x:v>Source/evidence identity and dispute state visible</x:v>
      </x:c>
      <x:c r="Q104" s="8" t="str">
        <x:v>Processing evidence</x:v>
      </x:c>
      <x:c r="R104" s="9"/>
      <x:c r="S104" s="9" t="n">
        <x:v>6000</x:v>
      </x:c>
      <x:c r="T104" s="2" t="str">
        <x:v>J-O01 / REQ-IMPACT-01</x:v>
      </x:c>
      <x:c r="U104" s="8" t="str">
        <x:v>Proposed work; implementation not authorized by this documentation request.</x:v>
      </x:c>
      <x:c r="V104" s="2" t="str">
        <x:v>Expansion</x:v>
      </x:c>
    </x:row>
    <x:row r="105" ht="60" customHeight="1">
      <x:c r="A105" s="2" t="str">
        <x:v>P07.03.01</x:v>
      </x:c>
      <x:c r="B105" s="2" t="str">
        <x:v>P07</x:v>
      </x:c>
      <x:c r="C105" s="8" t="str">
        <x:v>P07.03 Circularity validation</x:v>
      </x:c>
      <x:c r="D105" s="8" t="str">
        <x:v>Define counterfactual before diversion claims</x:v>
      </x:c>
      <x:c r="E105" s="8" t="str">
        <x:v>Evaluation reviewer</x:v>
      </x:c>
      <x:c r="F105" s="8" t="str">
        <x:v>Not started</x:v>
      </x:c>
      <x:c r="G105" s="4" t="b">
        <x:v>0</x:v>
      </x:c>
      <x:c r="H105" s="2" t="str">
        <x:f>IF(COUNTIFS($A$6:$A$161,A105)&lt;&gt;1,"Duplicate ID",IF(O105&lt;&gt;"Ready","Dependency open",IF(G105=TRUE,IF(AND(F105="Complete",I105&lt;&gt;"",J105&lt;&gt;"",K105&lt;&gt;""),"Verified","Evidence required"),IF(F105="Complete","Check completion",IF(F105="Blocked","Blocked",IF(F105="In progress","In progress",IF(F105="In review","In review","Open")))))))</x:f>
        <x:v>Dependency open</x:v>
      </x:c>
      <x:c r="I105" s="2" t="str"/>
      <x:c r="J105" s="2" t="str"/>
      <x:c r="K105" s="2" t="str"/>
      <x:c r="L105" s="2" t="str">
        <x:v>P06.90.01</x:v>
      </x:c>
      <x:c r="M105" s="2" t="str"/>
      <x:c r="N105" s="2" t="str"/>
      <x:c r="O105" s="2" t="str">
        <x:f>IF(AND(OR(L105="",_xlfn.IFNA(VLOOKUP(L105,$A$6:$H$104,8,FALSE),"Missing")="Verified"),OR(M105="",_xlfn.IFNA(VLOOKUP(M105,$A$6:$H$104,8,FALSE),"Missing")="Verified"),OR(N105="",_xlfn.IFNA(VLOOKUP(N105,$A$6:$H$104,8,FALSE),"Missing")="Verified")),"Ready","Dependency open")</x:f>
        <x:v>Dependency open</x:v>
      </x:c>
      <x:c r="P105" s="8" t="str">
        <x:v>Destination alternatives and evidence requirements recorded</x:v>
      </x:c>
      <x:c r="Q105" s="8" t="str">
        <x:v>Measurement protocol</x:v>
      </x:c>
      <x:c r="R105" s="9"/>
      <x:c r="S105" s="9" t="n">
        <x:v>6000</x:v>
      </x:c>
      <x:c r="T105" s="2" t="str">
        <x:v>J-O01 / REQ-IMPACT-01</x:v>
      </x:c>
      <x:c r="U105" s="8" t="str">
        <x:v>Proposed work; implementation not authorized by this documentation request.</x:v>
      </x:c>
      <x:c r="V105" s="2" t="str">
        <x:v>Expansion</x:v>
      </x:c>
    </x:row>
    <x:row r="106" ht="60" customHeight="1">
      <x:c r="A106" s="2" t="str">
        <x:v>P07.03.02</x:v>
      </x:c>
      <x:c r="B106" s="2" t="str">
        <x:v>P07</x:v>
      </x:c>
      <x:c r="C106" s="8" t="str">
        <x:v>P07.03 Circularity validation</x:v>
      </x:c>
      <x:c r="D106" s="8" t="str">
        <x:v>Test receipt extraction against human entry</x:v>
      </x:c>
      <x:c r="E106" s="8" t="str">
        <x:v>Evaluation reviewer</x:v>
      </x:c>
      <x:c r="F106" s="8" t="str">
        <x:v>Not started</x:v>
      </x:c>
      <x:c r="G106" s="4" t="b">
        <x:v>0</x:v>
      </x:c>
      <x:c r="H106" s="2" t="str">
        <x:f>IF(COUNTIFS($A$6:$A$161,A106)&lt;&gt;1,"Duplicate ID",IF(O106&lt;&gt;"Ready","Dependency open",IF(G106=TRUE,IF(AND(F106="Complete",I106&lt;&gt;"",J106&lt;&gt;"",K106&lt;&gt;""),"Verified","Evidence required"),IF(F106="Complete","Check completion",IF(F106="Blocked","Blocked",IF(F106="In progress","In progress",IF(F106="In review","In review","Open")))))))</x:f>
        <x:v>Dependency open</x:v>
      </x:c>
      <x:c r="I106" s="2" t="str"/>
      <x:c r="J106" s="2" t="str"/>
      <x:c r="K106" s="2" t="str"/>
      <x:c r="L106" s="2" t="str">
        <x:v>P07.03.01</x:v>
      </x:c>
      <x:c r="M106" s="2" t="str"/>
      <x:c r="N106" s="2" t="str"/>
      <x:c r="O106" s="2" t="str">
        <x:f>IF(AND(OR(L106="",_xlfn.IFNA(VLOOKUP(L106,$A$6:$H$105,8,FALSE),"Missing")="Verified"),OR(M106="",_xlfn.IFNA(VLOOKUP(M106,$A$6:$H$105,8,FALSE),"Missing")="Verified"),OR(N106="",_xlfn.IFNA(VLOOKUP(N106,$A$6:$H$105,8,FALSE),"Missing")="Verified")),"Ready","Dependency open")</x:f>
        <x:v>Dependency open</x:v>
      </x:c>
      <x:c r="P106" s="8" t="str">
        <x:v>AI benefit measured on multilingual/inconsistent documents</x:v>
      </x:c>
      <x:c r="Q106" s="8" t="str">
        <x:v>O-lane comparison</x:v>
      </x:c>
      <x:c r="R106" s="9"/>
      <x:c r="S106" s="9" t="n">
        <x:v>6000</x:v>
      </x:c>
      <x:c r="T106" s="2" t="str">
        <x:v>J-O01 / REQ-IMPACT-01</x:v>
      </x:c>
      <x:c r="U106" s="8" t="str">
        <x:v>Proposed work; implementation not authorized by this documentation request.</x:v>
      </x:c>
      <x:c r="V106" s="2" t="str">
        <x:v>Expansion</x:v>
      </x:c>
    </x:row>
    <x:row r="107" ht="60" customHeight="1">
      <x:c r="A107" s="2" t="str">
        <x:v>P07.03.03</x:v>
      </x:c>
      <x:c r="B107" s="2" t="str">
        <x:v>P07</x:v>
      </x:c>
      <x:c r="C107" s="8" t="str">
        <x:v>P07.03 Circularity validation</x:v>
      </x:c>
      <x:c r="D107" s="8" t="str">
        <x:v>Run authorized operator pilot</x:v>
      </x:c>
      <x:c r="E107" s="8" t="str">
        <x:v>Evaluation reviewer</x:v>
      </x:c>
      <x:c r="F107" s="8" t="str">
        <x:v>Not started</x:v>
      </x:c>
      <x:c r="G107" s="4" t="b">
        <x:v>0</x:v>
      </x:c>
      <x:c r="H107" s="2" t="str">
        <x:f>IF(COUNTIFS($A$6:$A$161,A107)&lt;&gt;1,"Duplicate ID",IF(O107&lt;&gt;"Ready","Dependency open",IF(G107=TRUE,IF(AND(F107="Complete",I107&lt;&gt;"",J107&lt;&gt;"",K107&lt;&gt;""),"Verified","Evidence required"),IF(F107="Complete","Check completion",IF(F107="Blocked","Blocked",IF(F107="In progress","In progress",IF(F107="In review","In review","Open")))))))</x:f>
        <x:v>Dependency open</x:v>
      </x:c>
      <x:c r="I107" s="2" t="str"/>
      <x:c r="J107" s="2" t="str"/>
      <x:c r="K107" s="2" t="str"/>
      <x:c r="L107" s="2" t="str">
        <x:v>P07.03.02</x:v>
      </x:c>
      <x:c r="M107" s="2" t="str"/>
      <x:c r="N107" s="2" t="str"/>
      <x:c r="O107" s="2" t="str">
        <x:f>IF(AND(OR(L107="",_xlfn.IFNA(VLOOKUP(L107,$A$6:$H$106,8,FALSE),"Missing")="Verified"),OR(M107="",_xlfn.IFNA(VLOOKUP(M107,$A$6:$H$106,8,FALSE),"Missing")="Verified"),OR(N107="",_xlfn.IFNA(VLOOKUP(N107,$A$6:$H$106,8,FALSE),"Missing")="Verified")),"Ready","Dependency open")</x:f>
        <x:v>Dependency open</x:v>
      </x:c>
      <x:c r="P107" s="8" t="str">
        <x:v>Collection cost, reject rate and missing receipts measured</x:v>
      </x:c>
      <x:c r="Q107" s="8" t="str">
        <x:v>Pilot dataset</x:v>
      </x:c>
      <x:c r="R107" s="9"/>
      <x:c r="S107" s="9" t="n">
        <x:v>6000</x:v>
      </x:c>
      <x:c r="T107" s="2" t="str">
        <x:v>J-O01 / REQ-IMPACT-01</x:v>
      </x:c>
      <x:c r="U107" s="8" t="str">
        <x:v>Proposed work; implementation not authorized by this documentation request.</x:v>
      </x:c>
      <x:c r="V107" s="2" t="str">
        <x:v>Expansion</x:v>
      </x:c>
    </x:row>
    <x:row r="108" ht="60" customHeight="1">
      <x:c r="A108" s="2" t="str">
        <x:v>P07.03.04</x:v>
      </x:c>
      <x:c r="B108" s="2" t="str">
        <x:v>P07</x:v>
      </x:c>
      <x:c r="C108" s="8" t="str">
        <x:v>P07.03 Circularity validation</x:v>
      </x:c>
      <x:c r="D108" s="8" t="str">
        <x:v>Approve only substantiated reporting</x:v>
      </x:c>
      <x:c r="E108" s="8" t="str">
        <x:v>Evaluation reviewer</x:v>
      </x:c>
      <x:c r="F108" s="8" t="str">
        <x:v>Not started</x:v>
      </x:c>
      <x:c r="G108" s="4" t="b">
        <x:v>0</x:v>
      </x:c>
      <x:c r="H108" s="2" t="str">
        <x:f>IF(COUNTIFS($A$6:$A$161,A108)&lt;&gt;1,"Duplicate ID",IF(O108&lt;&gt;"Ready","Dependency open",IF(G108=TRUE,IF(AND(F108="Complete",I108&lt;&gt;"",J108&lt;&gt;"",K108&lt;&gt;""),"Verified","Evidence required"),IF(F108="Complete","Check completion",IF(F108="Blocked","Blocked",IF(F108="In progress","In progress",IF(F108="In review","In review","Open")))))))</x:f>
        <x:v>Dependency open</x:v>
      </x:c>
      <x:c r="I108" s="2" t="str"/>
      <x:c r="J108" s="2" t="str"/>
      <x:c r="K108" s="2" t="str"/>
      <x:c r="L108" s="2" t="str">
        <x:v>P07.03.03</x:v>
      </x:c>
      <x:c r="M108" s="2" t="str"/>
      <x:c r="N108" s="2" t="str"/>
      <x:c r="O108" s="2" t="str">
        <x:f>IF(AND(OR(L108="",_xlfn.IFNA(VLOOKUP(L108,$A$6:$H$107,8,FALSE),"Missing")="Verified"),OR(M108="",_xlfn.IFNA(VLOOKUP(M108,$A$6:$H$107,8,FALSE),"Missing")="Verified"),OR(N108="",_xlfn.IFNA(VLOOKUP(N108,$A$6:$H$107,8,FALSE),"Missing")="Verified")),"Ready","Dependency open")</x:f>
        <x:v>Dependency open</x:v>
      </x:c>
      <x:c r="P108" s="8" t="str">
        <x:v>Collected/processed/estimated/unknown labels remain separate</x:v>
      </x:c>
      <x:c r="Q108" s="8" t="str">
        <x:v>Outcome claims review</x:v>
      </x:c>
      <x:c r="R108" s="9"/>
      <x:c r="S108" s="9" t="n">
        <x:v>6000</x:v>
      </x:c>
      <x:c r="T108" s="2" t="str">
        <x:v>J-O01 / REQ-IMPACT-01</x:v>
      </x:c>
      <x:c r="U108" s="8" t="str">
        <x:v>Proposed work; implementation not authorized by this documentation request.</x:v>
      </x:c>
      <x:c r="V108" s="2" t="str">
        <x:v>Expansion</x:v>
      </x:c>
    </x:row>
    <x:row r="109" ht="60" customHeight="1">
      <x:c r="A109" s="2" t="str">
        <x:v>P07.90.01</x:v>
      </x:c>
      <x:c r="B109" s="2" t="str">
        <x:v>P07</x:v>
      </x:c>
      <x:c r="C109" s="8" t="str">
        <x:v>P07.90 Phase gate</x:v>
      </x:c>
      <x:c r="D109" s="8" t="str">
        <x:v>Review and accept organics and processor evidence</x:v>
      </x:c>
      <x:c r="E109" s="8" t="str">
        <x:v>Product owner + independent reviewer</x:v>
      </x:c>
      <x:c r="F109" s="8" t="str">
        <x:v>Not started</x:v>
      </x:c>
      <x:c r="G109" s="4" t="b">
        <x:v>0</x:v>
      </x:c>
      <x:c r="H109" s="2" t="str">
        <x:f>IF(COUNTIFS($A$6:$A$161,A109)&lt;&gt;1,"Duplicate ID",IF(O109&lt;&gt;"Ready","Dependency open",IF(G109=TRUE,IF(AND(F109="Complete",I109&lt;&gt;"",J109&lt;&gt;"",K109&lt;&gt;""),"Verified","Evidence required"),IF(F109="Complete","Check completion",IF(F109="Blocked","Blocked",IF(F109="In progress","In progress",IF(F109="In review","In review","Open")))))))</x:f>
        <x:v>Dependency open</x:v>
      </x:c>
      <x:c r="I109" s="2" t="str"/>
      <x:c r="J109" s="2" t="str"/>
      <x:c r="K109" s="2" t="str"/>
      <x:c r="L109" s="2" t="str">
        <x:v>P07.01.04</x:v>
      </x:c>
      <x:c r="M109" s="2" t="str">
        <x:v>P07.02.04</x:v>
      </x:c>
      <x:c r="N109" s="2" t="str">
        <x:v>P07.03.04</x:v>
      </x:c>
      <x:c r="O109" s="2" t="str">
        <x:f>IF(AND(OR(L109="",_xlfn.IFNA(VLOOKUP(L109,$A$6:$H$108,8,FALSE),"Missing")="Verified"),OR(M109="",_xlfn.IFNA(VLOOKUP(M109,$A$6:$H$108,8,FALSE),"Missing")="Verified"),OR(N109="",_xlfn.IFNA(VLOOKUP(N109,$A$6:$H$108,8,FALSE),"Missing")="Verified")),"Ready","Dependency open")</x:f>
        <x:v>Dependency open</x:v>
      </x:c>
      <x:c r="P109" s="8" t="str">
        <x:v>All prerequisites verified; critical risks closed or explicitly rejected for rollout; human records go/revise/stop decision.</x:v>
      </x:c>
      <x:c r="Q109" s="8" t="str">
        <x:v>Phase gate record with reviewer, evidence links, residual risks and next scope</x:v>
      </x:c>
      <x:c r="R109" s="9"/>
      <x:c r="S109" s="9" t="n">
        <x:v>4000</x:v>
      </x:c>
      <x:c r="T109" s="2" t="str">
        <x:v>P07-GATE</x:v>
      </x:c>
      <x:c r="U109" s="8" t="str">
        <x:v>Unchecked until phase evidence is reviewed. A written plan is not implementation evidence.</x:v>
      </x:c>
      <x:c r="V109" s="2" t="str">
        <x:v>Expansion</x:v>
      </x:c>
    </x:row>
    <x:row r="110" ht="60" customHeight="1">
      <x:c r="A110" s="2" t="str">
        <x:v>P08.01.01</x:v>
      </x:c>
      <x:c r="B110" s="2" t="str">
        <x:v>P08</x:v>
      </x:c>
      <x:c r="C110" s="8" t="str">
        <x:v>P08.01 Pilot design</x:v>
      </x:c>
      <x:c r="D110" s="8" t="str">
        <x:v>Recruit consenting decision owners</x:v>
      </x:c>
      <x:c r="E110" s="8" t="str">
        <x:v>Research lead</x:v>
      </x:c>
      <x:c r="F110" s="8" t="str">
        <x:v>Not started</x:v>
      </x:c>
      <x:c r="G110" s="4" t="b">
        <x:v>0</x:v>
      </x:c>
      <x:c r="H110" s="2" t="str">
        <x:f>IF(COUNTIFS($A$6:$A$161,A110)&lt;&gt;1,"Duplicate ID",IF(O110&lt;&gt;"Ready","Dependency open",IF(G110=TRUE,IF(AND(F110="Complete",I110&lt;&gt;"",J110&lt;&gt;"",K110&lt;&gt;""),"Verified","Evidence required"),IF(F110="Complete","Check completion",IF(F110="Blocked","Blocked",IF(F110="In progress","In progress",IF(F110="In review","In review","Open")))))))</x:f>
        <x:v>Dependency open</x:v>
      </x:c>
      <x:c r="I110" s="2" t="str"/>
      <x:c r="J110" s="2" t="str"/>
      <x:c r="K110" s="2" t="str"/>
      <x:c r="L110" s="2" t="str">
        <x:v>P04.90.01</x:v>
      </x:c>
      <x:c r="M110" s="2" t="str"/>
      <x:c r="N110" s="2" t="str"/>
      <x:c r="O110" s="2" t="str">
        <x:f>IF(AND(OR(L110="",_xlfn.IFNA(VLOOKUP(L110,$A$6:$H$109,8,FALSE),"Missing")="Verified"),OR(M110="",_xlfn.IFNA(VLOOKUP(M110,$A$6:$H$109,8,FALSE),"Missing")="Verified"),OR(N110="",_xlfn.IFNA(VLOOKUP(N110,$A$6:$H$109,8,FALSE),"Missing")="Verified")),"Ready","Dependency open")</x:f>
        <x:v>Dependency open</x:v>
      </x:c>
      <x:c r="P110" s="8" t="str">
        <x:v>Voluntary participants; withdrawal and data use explained</x:v>
      </x:c>
      <x:c r="Q110" s="8" t="str">
        <x:v>Consent record</x:v>
      </x:c>
      <x:c r="R110" s="9"/>
      <x:c r="S110" s="9" t="n">
        <x:v>6000</x:v>
      </x:c>
      <x:c r="T110" s="2" t="str">
        <x:v>REQ-PILOT-01</x:v>
      </x:c>
      <x:c r="U110" s="8" t="str">
        <x:v>Proposed work; implementation not authorized by this documentation request.</x:v>
      </x:c>
      <x:c r="V110" s="2" t="str">
        <x:v>Pilot</x:v>
      </x:c>
    </x:row>
    <x:row r="111" ht="60" customHeight="1">
      <x:c r="A111" s="2" t="str">
        <x:v>P08.01.02</x:v>
      </x:c>
      <x:c r="B111" s="2" t="str">
        <x:v>P08</x:v>
      </x:c>
      <x:c r="C111" s="8" t="str">
        <x:v>P08.01 Pilot design</x:v>
      </x:c>
      <x:c r="D111" s="8" t="str">
        <x:v>Collect baseline without retrospective invention</x:v>
      </x:c>
      <x:c r="E111" s="8" t="str">
        <x:v>Research lead</x:v>
      </x:c>
      <x:c r="F111" s="8" t="str">
        <x:v>Not started</x:v>
      </x:c>
      <x:c r="G111" s="4" t="b">
        <x:v>0</x:v>
      </x:c>
      <x:c r="H111" s="2" t="str">
        <x:f>IF(COUNTIFS($A$6:$A$161,A111)&lt;&gt;1,"Duplicate ID",IF(O111&lt;&gt;"Ready","Dependency open",IF(G111=TRUE,IF(AND(F111="Complete",I111&lt;&gt;"",J111&lt;&gt;"",K111&lt;&gt;""),"Verified","Evidence required"),IF(F111="Complete","Check completion",IF(F111="Blocked","Blocked",IF(F111="In progress","In progress",IF(F111="In review","In review","Open")))))))</x:f>
        <x:v>Dependency open</x:v>
      </x:c>
      <x:c r="I111" s="2" t="str"/>
      <x:c r="J111" s="2" t="str"/>
      <x:c r="K111" s="2" t="str"/>
      <x:c r="L111" s="2" t="str">
        <x:v>P08.01.01</x:v>
      </x:c>
      <x:c r="M111" s="2" t="str"/>
      <x:c r="N111" s="2" t="str"/>
      <x:c r="O111" s="2" t="str">
        <x:f>IF(AND(OR(L111="",_xlfn.IFNA(VLOOKUP(L111,$A$6:$H$110,8,FALSE),"Missing")="Verified"),OR(M111="",_xlfn.IFNA(VLOOKUP(M111,$A$6:$H$110,8,FALSE),"Missing")="Verified"),OR(N111="",_xlfn.IFNA(VLOOKUP(N111,$A$6:$H$110,8,FALSE),"Missing")="Verified")),"Ready","Dependency open")</x:f>
        <x:v>Dependency open</x:v>
      </x:c>
      <x:c r="P111" s="8" t="str">
        <x:v>Physical measurements and effort logged with missingness</x:v>
      </x:c>
      <x:c r="Q111" s="8" t="str">
        <x:v>Baseline dataset</x:v>
      </x:c>
      <x:c r="R111" s="9"/>
      <x:c r="S111" s="9" t="n">
        <x:v>6000</x:v>
      </x:c>
      <x:c r="T111" s="2" t="str">
        <x:v>REQ-PILOT-01</x:v>
      </x:c>
      <x:c r="U111" s="8" t="str">
        <x:v>Proposed work; implementation not authorized by this documentation request.</x:v>
      </x:c>
      <x:c r="V111" s="2" t="str">
        <x:v>Pilot</x:v>
      </x:c>
    </x:row>
    <x:row r="112" ht="60" customHeight="1">
      <x:c r="A112" s="2" t="str">
        <x:v>P08.01.03</x:v>
      </x:c>
      <x:c r="B112" s="2" t="str">
        <x:v>P08</x:v>
      </x:c>
      <x:c r="C112" s="8" t="str">
        <x:v>P08.01 Pilot design</x:v>
      </x:c>
      <x:c r="D112" s="8" t="str">
        <x:v>Run comparison with predeclared measures</x:v>
      </x:c>
      <x:c r="E112" s="8" t="str">
        <x:v>Research lead</x:v>
      </x:c>
      <x:c r="F112" s="8" t="str">
        <x:v>Not started</x:v>
      </x:c>
      <x:c r="G112" s="4" t="b">
        <x:v>0</x:v>
      </x:c>
      <x:c r="H112" s="2" t="str">
        <x:f>IF(COUNTIFS($A$6:$A$161,A112)&lt;&gt;1,"Duplicate ID",IF(O112&lt;&gt;"Ready","Dependency open",IF(G112=TRUE,IF(AND(F112="Complete",I112&lt;&gt;"",J112&lt;&gt;"",K112&lt;&gt;""),"Verified","Evidence required"),IF(F112="Complete","Check completion",IF(F112="Blocked","Blocked",IF(F112="In progress","In progress",IF(F112="In review","In review","Open")))))))</x:f>
        <x:v>Dependency open</x:v>
      </x:c>
      <x:c r="I112" s="2" t="str"/>
      <x:c r="J112" s="2" t="str"/>
      <x:c r="K112" s="2" t="str"/>
      <x:c r="L112" s="2" t="str">
        <x:v>P08.01.02</x:v>
      </x:c>
      <x:c r="M112" s="2" t="str"/>
      <x:c r="N112" s="2" t="str"/>
      <x:c r="O112" s="2" t="str">
        <x:f>IF(AND(OR(L112="",_xlfn.IFNA(VLOOKUP(L112,$A$6:$H$111,8,FALSE),"Missing")="Verified"),OR(M112="",_xlfn.IFNA(VLOOKUP(M112,$A$6:$H$111,8,FALSE),"Missing")="Verified"),OR(N112="",_xlfn.IFNA(VLOOKUP(N112,$A$6:$H$111,8,FALSE),"Missing")="Verified")),"Ready","Dependency open")</x:f>
        <x:v>Dependency open</x:v>
      </x:c>
      <x:c r="P112" s="8" t="str">
        <x:v>Comparable periods/arms; seasonality and attrition recorded</x:v>
      </x:c>
      <x:c r="Q112" s="8" t="str">
        <x:v>Pilot protocol/results</x:v>
      </x:c>
      <x:c r="R112" s="9"/>
      <x:c r="S112" s="9" t="n">
        <x:v>6000</x:v>
      </x:c>
      <x:c r="T112" s="2" t="str">
        <x:v>REQ-PILOT-01</x:v>
      </x:c>
      <x:c r="U112" s="8" t="str">
        <x:v>Proposed work; implementation not authorized by this documentation request.</x:v>
      </x:c>
      <x:c r="V112" s="2" t="str">
        <x:v>Pilot</x:v>
      </x:c>
    </x:row>
    <x:row r="113" ht="60" customHeight="1">
      <x:c r="A113" s="2" t="str">
        <x:v>P08.01.04</x:v>
      </x:c>
      <x:c r="B113" s="2" t="str">
        <x:v>P08</x:v>
      </x:c>
      <x:c r="C113" s="8" t="str">
        <x:v>P08.01 Pilot design</x:v>
      </x:c>
      <x:c r="D113" s="8" t="str">
        <x:v>Interview failures and non-users</x:v>
      </x:c>
      <x:c r="E113" s="8" t="str">
        <x:v>Research lead</x:v>
      </x:c>
      <x:c r="F113" s="8" t="str">
        <x:v>Not started</x:v>
      </x:c>
      <x:c r="G113" s="4" t="b">
        <x:v>0</x:v>
      </x:c>
      <x:c r="H113" s="2" t="str">
        <x:f>IF(COUNTIFS($A$6:$A$161,A113)&lt;&gt;1,"Duplicate ID",IF(O113&lt;&gt;"Ready","Dependency open",IF(G113=TRUE,IF(AND(F113="Complete",I113&lt;&gt;"",J113&lt;&gt;"",K113&lt;&gt;""),"Verified","Evidence required"),IF(F113="Complete","Check completion",IF(F113="Blocked","Blocked",IF(F113="In progress","In progress",IF(F113="In review","In review","Open")))))))</x:f>
        <x:v>Dependency open</x:v>
      </x:c>
      <x:c r="I113" s="2" t="str"/>
      <x:c r="J113" s="2" t="str"/>
      <x:c r="K113" s="2" t="str"/>
      <x:c r="L113" s="2" t="str">
        <x:v>P08.01.03</x:v>
      </x:c>
      <x:c r="M113" s="2" t="str"/>
      <x:c r="N113" s="2" t="str"/>
      <x:c r="O113" s="2" t="str">
        <x:f>IF(AND(OR(L113="",_xlfn.IFNA(VLOOKUP(L113,$A$6:$H$112,8,FALSE),"Missing")="Verified"),OR(M113="",_xlfn.IFNA(VLOOKUP(M113,$A$6:$H$112,8,FALSE),"Missing")="Verified"),OR(N113="",_xlfn.IFNA(VLOOKUP(N113,$A$6:$H$112,8,FALSE),"Missing")="Verified")),"Ready","Dependency open")</x:f>
        <x:v>Dependency open</x:v>
      </x:c>
      <x:c r="P113" s="8" t="str">
        <x:v>Logistics, habit and input burden investigated</x:v>
      </x:c>
      <x:c r="Q113" s="8" t="str">
        <x:v>Interview synthesis</x:v>
      </x:c>
      <x:c r="R113" s="9"/>
      <x:c r="S113" s="9" t="n">
        <x:v>6000</x:v>
      </x:c>
      <x:c r="T113" s="2" t="str">
        <x:v>REQ-PILOT-01</x:v>
      </x:c>
      <x:c r="U113" s="8" t="str">
        <x:v>Proposed work; implementation not authorized by this documentation request.</x:v>
      </x:c>
      <x:c r="V113" s="2" t="str">
        <x:v>Pilot</x:v>
      </x:c>
    </x:row>
    <x:row r="114" ht="60" customHeight="1">
      <x:c r="A114" s="2" t="str">
        <x:v>P08.02.01</x:v>
      </x:c>
      <x:c r="B114" s="2" t="str">
        <x:v>P08</x:v>
      </x:c>
      <x:c r="C114" s="8" t="str">
        <x:v>P08.02 Economics and pricing</x:v>
      </x:c>
      <x:c r="D114" s="8" t="str">
        <x:v>Measure support and model cost per completed decision</x:v>
      </x:c>
      <x:c r="E114" s="8" t="str">
        <x:v>Product owner</x:v>
      </x:c>
      <x:c r="F114" s="8" t="str">
        <x:v>Not started</x:v>
      </x:c>
      <x:c r="G114" s="4" t="b">
        <x:v>0</x:v>
      </x:c>
      <x:c r="H114" s="2" t="str">
        <x:f>IF(COUNTIFS($A$6:$A$161,A114)&lt;&gt;1,"Duplicate ID",IF(O114&lt;&gt;"Ready","Dependency open",IF(G114=TRUE,IF(AND(F114="Complete",I114&lt;&gt;"",J114&lt;&gt;"",K114&lt;&gt;""),"Verified","Evidence required"),IF(F114="Complete","Check completion",IF(F114="Blocked","Blocked",IF(F114="In progress","In progress",IF(F114="In review","In review","Open")))))))</x:f>
        <x:v>Dependency open</x:v>
      </x:c>
      <x:c r="I114" s="2" t="str"/>
      <x:c r="J114" s="2" t="str"/>
      <x:c r="K114" s="2" t="str"/>
      <x:c r="L114" s="2" t="str">
        <x:v>P04.90.01</x:v>
      </x:c>
      <x:c r="M114" s="2" t="str"/>
      <x:c r="N114" s="2" t="str"/>
      <x:c r="O114" s="2" t="str">
        <x:f>IF(AND(OR(L114="",_xlfn.IFNA(VLOOKUP(L114,$A$6:$H$113,8,FALSE),"Missing")="Verified"),OR(M114="",_xlfn.IFNA(VLOOKUP(M114,$A$6:$H$113,8,FALSE),"Missing")="Verified"),OR(N114="",_xlfn.IFNA(VLOOKUP(N114,$A$6:$H$113,8,FALSE),"Missing")="Verified")),"Ready","Dependency open")</x:f>
        <x:v>Dependency open</x:v>
      </x:c>
      <x:c r="P114" s="8" t="str">
        <x:v>Failed calls/retries/operator minutes included</x:v>
      </x:c>
      <x:c r="Q114" s="8" t="str">
        <x:v>Cost worksheet</x:v>
      </x:c>
      <x:c r="R114" s="9"/>
      <x:c r="S114" s="9" t="n">
        <x:v>6000</x:v>
      </x:c>
      <x:c r="T114" s="2" t="str">
        <x:v>REQ-PILOT-01</x:v>
      </x:c>
      <x:c r="U114" s="8" t="str">
        <x:v>Proposed work; implementation not authorized by this documentation request.</x:v>
      </x:c>
      <x:c r="V114" s="2" t="str">
        <x:v>Pilot</x:v>
      </x:c>
    </x:row>
    <x:row r="115" ht="60" customHeight="1">
      <x:c r="A115" s="2" t="str">
        <x:v>P08.02.02</x:v>
      </x:c>
      <x:c r="B115" s="2" t="str">
        <x:v>P08</x:v>
      </x:c>
      <x:c r="C115" s="8" t="str">
        <x:v>P08.02 Economics and pricing</x:v>
      </x:c>
      <x:c r="D115" s="8" t="str">
        <x:v>Test payer and willingness-to-pay hypothesis</x:v>
      </x:c>
      <x:c r="E115" s="8" t="str">
        <x:v>Product owner</x:v>
      </x:c>
      <x:c r="F115" s="8" t="str">
        <x:v>Not started</x:v>
      </x:c>
      <x:c r="G115" s="4" t="b">
        <x:v>0</x:v>
      </x:c>
      <x:c r="H115" s="2" t="str">
        <x:f>IF(COUNTIFS($A$6:$A$161,A115)&lt;&gt;1,"Duplicate ID",IF(O115&lt;&gt;"Ready","Dependency open",IF(G115=TRUE,IF(AND(F115="Complete",I115&lt;&gt;"",J115&lt;&gt;"",K115&lt;&gt;""),"Verified","Evidence required"),IF(F115="Complete","Check completion",IF(F115="Blocked","Blocked",IF(F115="In progress","In progress",IF(F115="In review","In review","Open")))))))</x:f>
        <x:v>Dependency open</x:v>
      </x:c>
      <x:c r="I115" s="2" t="str"/>
      <x:c r="J115" s="2" t="str"/>
      <x:c r="K115" s="2" t="str"/>
      <x:c r="L115" s="2" t="str">
        <x:v>P08.02.01</x:v>
      </x:c>
      <x:c r="M115" s="2" t="str"/>
      <x:c r="N115" s="2" t="str"/>
      <x:c r="O115" s="2" t="str">
        <x:f>IF(AND(OR(L115="",_xlfn.IFNA(VLOOKUP(L115,$A$6:$H$114,8,FALSE),"Missing")="Verified"),OR(M115="",_xlfn.IFNA(VLOOKUP(M115,$A$6:$H$114,8,FALSE),"Missing")="Verified"),OR(N115="",_xlfn.IFNA(VLOOKUP(N115,$A$6:$H$114,8,FALSE),"Missing")="Verified")),"Ready","Dependency open")</x:f>
        <x:v>Dependency open</x:v>
      </x:c>
      <x:c r="P115" s="8" t="str">
        <x:v>Buyer and beneficiary distinguished; no invented commitments</x:v>
      </x:c>
      <x:c r="Q115" s="8" t="str">
        <x:v>Pricing interview evidence</x:v>
      </x:c>
      <x:c r="R115" s="9"/>
      <x:c r="S115" s="9" t="n">
        <x:v>6000</x:v>
      </x:c>
      <x:c r="T115" s="2" t="str">
        <x:v>REQ-PILOT-01</x:v>
      </x:c>
      <x:c r="U115" s="8" t="str">
        <x:v>Proposed work; implementation not authorized by this documentation request.</x:v>
      </x:c>
      <x:c r="V115" s="2" t="str">
        <x:v>Pilot</x:v>
      </x:c>
    </x:row>
    <x:row r="116" ht="60" customHeight="1">
      <x:c r="A116" s="2" t="str">
        <x:v>P08.02.03</x:v>
      </x:c>
      <x:c r="B116" s="2" t="str">
        <x:v>P08</x:v>
      </x:c>
      <x:c r="C116" s="8" t="str">
        <x:v>P08.02 Economics and pricing</x:v>
      </x:c>
      <x:c r="D116" s="8" t="str">
        <x:v>Calculate scenario unit economics</x:v>
      </x:c>
      <x:c r="E116" s="8" t="str">
        <x:v>Product owner</x:v>
      </x:c>
      <x:c r="F116" s="8" t="str">
        <x:v>Not started</x:v>
      </x:c>
      <x:c r="G116" s="4" t="b">
        <x:v>0</x:v>
      </x:c>
      <x:c r="H116" s="2" t="str">
        <x:f>IF(COUNTIFS($A$6:$A$161,A116)&lt;&gt;1,"Duplicate ID",IF(O116&lt;&gt;"Ready","Dependency open",IF(G116=TRUE,IF(AND(F116="Complete",I116&lt;&gt;"",J116&lt;&gt;"",K116&lt;&gt;""),"Verified","Evidence required"),IF(F116="Complete","Check completion",IF(F116="Blocked","Blocked",IF(F116="In progress","In progress",IF(F116="In review","In review","Open")))))))</x:f>
        <x:v>Dependency open</x:v>
      </x:c>
      <x:c r="I116" s="2" t="str"/>
      <x:c r="J116" s="2" t="str"/>
      <x:c r="K116" s="2" t="str"/>
      <x:c r="L116" s="2" t="str">
        <x:v>P08.02.02</x:v>
      </x:c>
      <x:c r="M116" s="2" t="str"/>
      <x:c r="N116" s="2" t="str"/>
      <x:c r="O116" s="2" t="str">
        <x:f>IF(AND(OR(L116="",_xlfn.IFNA(VLOOKUP(L116,$A$6:$H$115,8,FALSE),"Missing")="Verified"),OR(M116="",_xlfn.IFNA(VLOOKUP(M116,$A$6:$H$115,8,FALSE),"Missing")="Verified"),OR(N116="",_xlfn.IFNA(VLOOKUP(N116,$A$6:$H$115,8,FALSE),"Missing")="Verified")),"Ready","Dependency open")</x:f>
        <x:v>Dependency open</x:v>
      </x:c>
      <x:c r="P116" s="8" t="str">
        <x:v>Compute/storage/support/verification/partner costs explicit</x:v>
      </x:c>
      <x:c r="Q116" s="8" t="str">
        <x:v>Sensitivity model</x:v>
      </x:c>
      <x:c r="R116" s="9"/>
      <x:c r="S116" s="9" t="n">
        <x:v>6000</x:v>
      </x:c>
      <x:c r="T116" s="2" t="str">
        <x:v>REQ-PILOT-01</x:v>
      </x:c>
      <x:c r="U116" s="8" t="str">
        <x:v>Proposed work; implementation not authorized by this documentation request.</x:v>
      </x:c>
      <x:c r="V116" s="2" t="str">
        <x:v>Pilot</x:v>
      </x:c>
    </x:row>
    <x:row r="117" ht="60" customHeight="1">
      <x:c r="A117" s="2" t="str">
        <x:v>P08.02.04</x:v>
      </x:c>
      <x:c r="B117" s="2" t="str">
        <x:v>P08</x:v>
      </x:c>
      <x:c r="C117" s="8" t="str">
        <x:v>P08.02 Economics and pricing</x:v>
      </x:c>
      <x:c r="D117" s="8" t="str">
        <x:v>Decide viable segment and expansion budget</x:v>
      </x:c>
      <x:c r="E117" s="8" t="str">
        <x:v>Product owner</x:v>
      </x:c>
      <x:c r="F117" s="8" t="str">
        <x:v>Not started</x:v>
      </x:c>
      <x:c r="G117" s="4" t="b">
        <x:v>0</x:v>
      </x:c>
      <x:c r="H117" s="2" t="str">
        <x:f>IF(COUNTIFS($A$6:$A$161,A117)&lt;&gt;1,"Duplicate ID",IF(O117&lt;&gt;"Ready","Dependency open",IF(G117=TRUE,IF(AND(F117="Complete",I117&lt;&gt;"",J117&lt;&gt;"",K117&lt;&gt;""),"Verified","Evidence required"),IF(F117="Complete","Check completion",IF(F117="Blocked","Blocked",IF(F117="In progress","In progress",IF(F117="In review","In review","Open")))))))</x:f>
        <x:v>Dependency open</x:v>
      </x:c>
      <x:c r="I117" s="2" t="str"/>
      <x:c r="J117" s="2" t="str"/>
      <x:c r="K117" s="2" t="str"/>
      <x:c r="L117" s="2" t="str">
        <x:v>P08.02.03</x:v>
      </x:c>
      <x:c r="M117" s="2" t="str"/>
      <x:c r="N117" s="2" t="str"/>
      <x:c r="O117" s="2" t="str">
        <x:f>IF(AND(OR(L117="",_xlfn.IFNA(VLOOKUP(L117,$A$6:$H$116,8,FALSE),"Missing")="Verified"),OR(M117="",_xlfn.IFNA(VLOOKUP(M117,$A$6:$H$116,8,FALSE),"Missing")="Verified"),OR(N117="",_xlfn.IFNA(VLOOKUP(N117,$A$6:$H$116,8,FALSE),"Missing")="Verified")),"Ready","Dependency open")</x:f>
        <x:v>Dependency open</x:v>
      </x:c>
      <x:c r="P117" s="8" t="str">
        <x:v>Evidence supports target segment or stop/pivot</x:v>
      </x:c>
      <x:c r="Q117" s="8" t="str">
        <x:v>Commercial decision</x:v>
      </x:c>
      <x:c r="R117" s="9"/>
      <x:c r="S117" s="9" t="n">
        <x:v>6000</x:v>
      </x:c>
      <x:c r="T117" s="2" t="str">
        <x:v>REQ-PILOT-01</x:v>
      </x:c>
      <x:c r="U117" s="8" t="str">
        <x:v>Proposed work; implementation not authorized by this documentation request.</x:v>
      </x:c>
      <x:c r="V117" s="2" t="str">
        <x:v>Pilot</x:v>
      </x:c>
    </x:row>
    <x:row r="118" ht="60" customHeight="1">
      <x:c r="A118" s="2" t="str">
        <x:v>P08.03.01</x:v>
      </x:c>
      <x:c r="B118" s="2" t="str">
        <x:v>P08</x:v>
      </x:c>
      <x:c r="C118" s="8" t="str">
        <x:v>P08.03 Operational trust</x:v>
      </x:c>
      <x:c r="D118" s="8" t="str">
        <x:v>Assign incident and data-rights owners</x:v>
      </x:c>
      <x:c r="E118" s="8" t="str">
        <x:v>Operations lead</x:v>
      </x:c>
      <x:c r="F118" s="8" t="str">
        <x:v>Not started</x:v>
      </x:c>
      <x:c r="G118" s="4" t="b">
        <x:v>0</x:v>
      </x:c>
      <x:c r="H118" s="2" t="str">
        <x:f>IF(COUNTIFS($A$6:$A$161,A118)&lt;&gt;1,"Duplicate ID",IF(O118&lt;&gt;"Ready","Dependency open",IF(G118=TRUE,IF(AND(F118="Complete",I118&lt;&gt;"",J118&lt;&gt;"",K118&lt;&gt;""),"Verified","Evidence required"),IF(F118="Complete","Check completion",IF(F118="Blocked","Blocked",IF(F118="In progress","In progress",IF(F118="In review","In review","Open")))))))</x:f>
        <x:v>Dependency open</x:v>
      </x:c>
      <x:c r="I118" s="2" t="str"/>
      <x:c r="J118" s="2" t="str"/>
      <x:c r="K118" s="2" t="str"/>
      <x:c r="L118" s="2" t="str">
        <x:v>P04.90.01</x:v>
      </x:c>
      <x:c r="M118" s="2" t="str"/>
      <x:c r="N118" s="2" t="str"/>
      <x:c r="O118" s="2" t="str">
        <x:f>IF(AND(OR(L118="",_xlfn.IFNA(VLOOKUP(L118,$A$6:$H$117,8,FALSE),"Missing")="Verified"),OR(M118="",_xlfn.IFNA(VLOOKUP(M118,$A$6:$H$117,8,FALSE),"Missing")="Verified"),OR(N118="",_xlfn.IFNA(VLOOKUP(N118,$A$6:$H$117,8,FALSE),"Missing")="Verified")),"Ready","Dependency open")</x:f>
        <x:v>Dependency open</x:v>
      </x:c>
      <x:c r="P118" s="8" t="str">
        <x:v>On-call routes, deletion exceptions and escalation time defined</x:v>
      </x:c>
      <x:c r="Q118" s="8" t="str">
        <x:v>Operations runbook</x:v>
      </x:c>
      <x:c r="R118" s="9"/>
      <x:c r="S118" s="9" t="n">
        <x:v>6000</x:v>
      </x:c>
      <x:c r="T118" s="2" t="str">
        <x:v>REQ-PILOT-01</x:v>
      </x:c>
      <x:c r="U118" s="8" t="str">
        <x:v>Proposed work; implementation not authorized by this documentation request.</x:v>
      </x:c>
      <x:c r="V118" s="2" t="str">
        <x:v>Pilot</x:v>
      </x:c>
    </x:row>
    <x:row r="119" ht="60" customHeight="1">
      <x:c r="A119" s="2" t="str">
        <x:v>P08.03.02</x:v>
      </x:c>
      <x:c r="B119" s="2" t="str">
        <x:v>P08</x:v>
      </x:c>
      <x:c r="C119" s="8" t="str">
        <x:v>P08.03 Operational trust</x:v>
      </x:c>
      <x:c r="D119" s="8" t="str">
        <x:v>Validate retention revocation and deletion</x:v>
      </x:c>
      <x:c r="E119" s="8" t="str">
        <x:v>Operations lead</x:v>
      </x:c>
      <x:c r="F119" s="8" t="str">
        <x:v>Not started</x:v>
      </x:c>
      <x:c r="G119" s="4" t="b">
        <x:v>0</x:v>
      </x:c>
      <x:c r="H119" s="2" t="str">
        <x:f>IF(COUNTIFS($A$6:$A$161,A119)&lt;&gt;1,"Duplicate ID",IF(O119&lt;&gt;"Ready","Dependency open",IF(G119=TRUE,IF(AND(F119="Complete",I119&lt;&gt;"",J119&lt;&gt;"",K119&lt;&gt;""),"Verified","Evidence required"),IF(F119="Complete","Check completion",IF(F119="Blocked","Blocked",IF(F119="In progress","In progress",IF(F119="In review","In review","Open")))))))</x:f>
        <x:v>Dependency open</x:v>
      </x:c>
      <x:c r="I119" s="2" t="str"/>
      <x:c r="J119" s="2" t="str"/>
      <x:c r="K119" s="2" t="str"/>
      <x:c r="L119" s="2" t="str">
        <x:v>P08.03.01</x:v>
      </x:c>
      <x:c r="M119" s="2" t="str"/>
      <x:c r="N119" s="2" t="str"/>
      <x:c r="O119" s="2" t="str">
        <x:f>IF(AND(OR(L119="",_xlfn.IFNA(VLOOKUP(L119,$A$6:$H$118,8,FALSE),"Missing")="Verified"),OR(M119="",_xlfn.IFNA(VLOOKUP(M119,$A$6:$H$118,8,FALSE),"Missing")="Verified"),OR(N119="",_xlfn.IFNA(VLOOKUP(N119,$A$6:$H$118,8,FALSE),"Missing")="Verified")),"Ready","Dependency open")</x:f>
        <x:v>Dependency open</x:v>
      </x:c>
      <x:c r="P119" s="8" t="str">
        <x:v>Derived records and media affected; audit legal hold scoped</x:v>
      </x:c>
      <x:c r="Q119" s="8" t="str">
        <x:v>Data lifecycle evidence</x:v>
      </x:c>
      <x:c r="R119" s="9"/>
      <x:c r="S119" s="9" t="n">
        <x:v>6000</x:v>
      </x:c>
      <x:c r="T119" s="2" t="str">
        <x:v>REQ-PILOT-01</x:v>
      </x:c>
      <x:c r="U119" s="8" t="str">
        <x:v>Proposed work; implementation not authorized by this documentation request.</x:v>
      </x:c>
      <x:c r="V119" s="2" t="str">
        <x:v>Pilot</x:v>
      </x:c>
    </x:row>
    <x:row r="120" ht="60" customHeight="1">
      <x:c r="A120" s="2" t="str">
        <x:v>P08.03.03</x:v>
      </x:c>
      <x:c r="B120" s="2" t="str">
        <x:v>P08</x:v>
      </x:c>
      <x:c r="C120" s="8" t="str">
        <x:v>P08.03 Operational trust</x:v>
      </x:c>
      <x:c r="D120" s="8" t="str">
        <x:v>Review fairness and accessibility</x:v>
      </x:c>
      <x:c r="E120" s="8" t="str">
        <x:v>Operations lead</x:v>
      </x:c>
      <x:c r="F120" s="8" t="str">
        <x:v>Not started</x:v>
      </x:c>
      <x:c r="G120" s="4" t="b">
        <x:v>0</x:v>
      </x:c>
      <x:c r="H120" s="2" t="str">
        <x:f>IF(COUNTIFS($A$6:$A$161,A120)&lt;&gt;1,"Duplicate ID",IF(O120&lt;&gt;"Ready","Dependency open",IF(G120=TRUE,IF(AND(F120="Complete",I120&lt;&gt;"",J120&lt;&gt;"",K120&lt;&gt;""),"Verified","Evidence required"),IF(F120="Complete","Check completion",IF(F120="Blocked","Blocked",IF(F120="In progress","In progress",IF(F120="In review","In review","Open")))))))</x:f>
        <x:v>Dependency open</x:v>
      </x:c>
      <x:c r="I120" s="2" t="str"/>
      <x:c r="J120" s="2" t="str"/>
      <x:c r="K120" s="2" t="str"/>
      <x:c r="L120" s="2" t="str">
        <x:v>P08.03.02</x:v>
      </x:c>
      <x:c r="M120" s="2" t="str"/>
      <x:c r="N120" s="2" t="str"/>
      <x:c r="O120" s="2" t="str">
        <x:f>IF(AND(OR(L120="",_xlfn.IFNA(VLOOKUP(L120,$A$6:$H$119,8,FALSE),"Missing")="Verified"),OR(M120="",_xlfn.IFNA(VLOOKUP(M120,$A$6:$H$119,8,FALSE),"Missing")="Verified"),OR(N120="",_xlfn.IFNA(VLOOKUP(N120,$A$6:$H$119,8,FALSE),"Missing")="Verified")),"Ready","Dependency open")</x:f>
        <x:v>Dependency open</x:v>
      </x:c>
      <x:c r="P120" s="8" t="str">
        <x:v>Low-connectivity/language constraints and exclusion harms assessed</x:v>
      </x:c>
      <x:c r="Q120" s="8" t="str">
        <x:v>Accessibility/equity findings</x:v>
      </x:c>
      <x:c r="R120" s="9"/>
      <x:c r="S120" s="9" t="n">
        <x:v>6000</x:v>
      </x:c>
      <x:c r="T120" s="2" t="str">
        <x:v>REQ-PILOT-01</x:v>
      </x:c>
      <x:c r="U120" s="8" t="str">
        <x:v>Proposed work; implementation not authorized by this documentation request.</x:v>
      </x:c>
      <x:c r="V120" s="2" t="str">
        <x:v>Pilot</x:v>
      </x:c>
    </x:row>
    <x:row r="121" ht="60" customHeight="1">
      <x:c r="A121" s="2" t="str">
        <x:v>P08.03.04</x:v>
      </x:c>
      <x:c r="B121" s="2" t="str">
        <x:v>P08</x:v>
      </x:c>
      <x:c r="C121" s="8" t="str">
        <x:v>P08.03 Operational trust</x:v>
      </x:c>
      <x:c r="D121" s="8" t="str">
        <x:v>Publish measured pilot limits</x:v>
      </x:c>
      <x:c r="E121" s="8" t="str">
        <x:v>Operations lead</x:v>
      </x:c>
      <x:c r="F121" s="8" t="str">
        <x:v>Not started</x:v>
      </x:c>
      <x:c r="G121" s="4" t="b">
        <x:v>0</x:v>
      </x:c>
      <x:c r="H121" s="2" t="str">
        <x:f>IF(COUNTIFS($A$6:$A$161,A121)&lt;&gt;1,"Duplicate ID",IF(O121&lt;&gt;"Ready","Dependency open",IF(G121=TRUE,IF(AND(F121="Complete",I121&lt;&gt;"",J121&lt;&gt;"",K121&lt;&gt;""),"Verified","Evidence required"),IF(F121="Complete","Check completion",IF(F121="Blocked","Blocked",IF(F121="In progress","In progress",IF(F121="In review","In review","Open")))))))</x:f>
        <x:v>Dependency open</x:v>
      </x:c>
      <x:c r="I121" s="2" t="str"/>
      <x:c r="J121" s="2" t="str"/>
      <x:c r="K121" s="2" t="str"/>
      <x:c r="L121" s="2" t="str">
        <x:v>P08.03.03</x:v>
      </x:c>
      <x:c r="M121" s="2" t="str"/>
      <x:c r="N121" s="2" t="str"/>
      <x:c r="O121" s="2" t="str">
        <x:f>IF(AND(OR(L121="",_xlfn.IFNA(VLOOKUP(L121,$A$6:$H$120,8,FALSE),"Missing")="Verified"),OR(M121="",_xlfn.IFNA(VLOOKUP(M121,$A$6:$H$120,8,FALSE),"Missing")="Verified"),OR(N121="",_xlfn.IFNA(VLOOKUP(N121,$A$6:$H$120,8,FALSE),"Missing")="Verified")),"Ready","Dependency open")</x:f>
        <x:v>Dependency open</x:v>
      </x:c>
      <x:c r="P121" s="8" t="str">
        <x:v>Claims preserve sample/time/geography and counterfactual uncertainty</x:v>
      </x:c>
      <x:c r="Q121" s="8" t="str">
        <x:v>Pilot report</x:v>
      </x:c>
      <x:c r="R121" s="9"/>
      <x:c r="S121" s="9" t="n">
        <x:v>6000</x:v>
      </x:c>
      <x:c r="T121" s="2" t="str">
        <x:v>REQ-PILOT-01</x:v>
      </x:c>
      <x:c r="U121" s="8" t="str">
        <x:v>Proposed work; implementation not authorized by this documentation request.</x:v>
      </x:c>
      <x:c r="V121" s="2" t="str">
        <x:v>Pilot</x:v>
      </x:c>
    </x:row>
    <x:row r="122" ht="60" customHeight="1">
      <x:c r="A122" s="2" t="str">
        <x:v>P08.90.01</x:v>
      </x:c>
      <x:c r="B122" s="2" t="str">
        <x:v>P08</x:v>
      </x:c>
      <x:c r="C122" s="8" t="str">
        <x:v>P08.90 Phase gate</x:v>
      </x:c>
      <x:c r="D122" s="8" t="str">
        <x:v>Review and accept permissioned pilot and operating model</x:v>
      </x:c>
      <x:c r="E122" s="8" t="str">
        <x:v>Product owner + independent reviewer</x:v>
      </x:c>
      <x:c r="F122" s="8" t="str">
        <x:v>Not started</x:v>
      </x:c>
      <x:c r="G122" s="4" t="b">
        <x:v>0</x:v>
      </x:c>
      <x:c r="H122" s="2" t="str">
        <x:f>IF(COUNTIFS($A$6:$A$161,A122)&lt;&gt;1,"Duplicate ID",IF(O122&lt;&gt;"Ready","Dependency open",IF(G122=TRUE,IF(AND(F122="Complete",I122&lt;&gt;"",J122&lt;&gt;"",K122&lt;&gt;""),"Verified","Evidence required"),IF(F122="Complete","Check completion",IF(F122="Blocked","Blocked",IF(F122="In progress","In progress",IF(F122="In review","In review","Open")))))))</x:f>
        <x:v>Dependency open</x:v>
      </x:c>
      <x:c r="I122" s="2" t="str"/>
      <x:c r="J122" s="2" t="str"/>
      <x:c r="K122" s="2" t="str"/>
      <x:c r="L122" s="2" t="str">
        <x:v>P08.01.04</x:v>
      </x:c>
      <x:c r="M122" s="2" t="str">
        <x:v>P08.02.04</x:v>
      </x:c>
      <x:c r="N122" s="2" t="str">
        <x:v>P08.03.04</x:v>
      </x:c>
      <x:c r="O122" s="2" t="str">
        <x:f>IF(AND(OR(L122="",_xlfn.IFNA(VLOOKUP(L122,$A$6:$H$121,8,FALSE),"Missing")="Verified"),OR(M122="",_xlfn.IFNA(VLOOKUP(M122,$A$6:$H$121,8,FALSE),"Missing")="Verified"),OR(N122="",_xlfn.IFNA(VLOOKUP(N122,$A$6:$H$121,8,FALSE),"Missing")="Verified")),"Ready","Dependency open")</x:f>
        <x:v>Dependency open</x:v>
      </x:c>
      <x:c r="P122" s="8" t="str">
        <x:v>All prerequisites verified; critical risks closed or explicitly rejected for rollout; human records go/revise/stop decision.</x:v>
      </x:c>
      <x:c r="Q122" s="8" t="str">
        <x:v>Phase gate record with reviewer, evidence links, residual risks and next scope</x:v>
      </x:c>
      <x:c r="R122" s="9"/>
      <x:c r="S122" s="9" t="n">
        <x:v>4000</x:v>
      </x:c>
      <x:c r="T122" s="2" t="str">
        <x:v>P08-GATE</x:v>
      </x:c>
      <x:c r="U122" s="8" t="str">
        <x:v>Unchecked until phase evidence is reviewed. A written plan is not implementation evidence.</x:v>
      </x:c>
      <x:c r="V122" s="2" t="str">
        <x:v>Pilot</x:v>
      </x:c>
    </x:row>
    <x:row r="123" ht="60" customHeight="1">
      <x:c r="A123" s="2" t="str">
        <x:v>P09.01.01</x:v>
      </x:c>
      <x:c r="B123" s="2" t="str">
        <x:v>P09</x:v>
      </x:c>
      <x:c r="C123" s="8" t="str">
        <x:v>P09.01 Asset lifecycle</x:v>
      </x:c>
      <x:c r="D123" s="8" t="str">
        <x:v>Choose a single repair or reuse category</x:v>
      </x:c>
      <x:c r="E123" s="8" t="str">
        <x:v>Product/domain lead</x:v>
      </x:c>
      <x:c r="F123" s="8" t="str">
        <x:v>Not started</x:v>
      </x:c>
      <x:c r="G123" s="4" t="b">
        <x:v>0</x:v>
      </x:c>
      <x:c r="H123" s="2" t="str">
        <x:f>IF(COUNTIFS($A$6:$A$161,A123)&lt;&gt;1,"Duplicate ID",IF(O123&lt;&gt;"Ready","Dependency open",IF(G123=TRUE,IF(AND(F123="Complete",I123&lt;&gt;"",J123&lt;&gt;"",K123&lt;&gt;""),"Verified","Evidence required"),IF(F123="Complete","Check completion",IF(F123="Blocked","Blocked",IF(F123="In progress","In progress",IF(F123="In review","In review","Open")))))))</x:f>
        <x:v>Dependency open</x:v>
      </x:c>
      <x:c r="I123" s="2" t="str"/>
      <x:c r="J123" s="2" t="str"/>
      <x:c r="K123" s="2" t="str"/>
      <x:c r="L123" s="2" t="str">
        <x:v>P08.90.01</x:v>
      </x:c>
      <x:c r="M123" s="2" t="str"/>
      <x:c r="N123" s="2" t="str"/>
      <x:c r="O123" s="2" t="str">
        <x:f>IF(AND(OR(L123="",_xlfn.IFNA(VLOOKUP(L123,$A$6:$H$122,8,FALSE),"Missing")="Verified"),OR(M123="",_xlfn.IFNA(VLOOKUP(M123,$A$6:$H$122,8,FALSE),"Missing")="Verified"),OR(N123="",_xlfn.IFNA(VLOOKUP(N123,$A$6:$H$122,8,FALSE),"Missing")="Verified")),"Ready","Dependency open")</x:f>
        <x:v>Dependency open</x:v>
      </x:c>
      <x:c r="P123" s="8" t="str">
        <x:v>Hazard, ownership and service capability fit recorded</x:v>
      </x:c>
      <x:c r="Q123" s="8" t="str">
        <x:v>J-U01 scope decision</x:v>
      </x:c>
      <x:c r="R123" s="9"/>
      <x:c r="S123" s="9" t="n">
        <x:v>6000</x:v>
      </x:c>
      <x:c r="T123" s="2" t="str">
        <x:v>J-U01</x:v>
      </x:c>
      <x:c r="U123" s="8" t="str">
        <x:v>Proposed work; implementation not authorized by this documentation request.</x:v>
      </x:c>
      <x:c r="V123" s="2" t="str">
        <x:v>Expansion</x:v>
      </x:c>
    </x:row>
    <x:row r="124" ht="60" customHeight="1">
      <x:c r="A124" s="2" t="str">
        <x:v>P09.01.02</x:v>
      </x:c>
      <x:c r="B124" s="2" t="str">
        <x:v>P09</x:v>
      </x:c>
      <x:c r="C124" s="8" t="str">
        <x:v>P09.01 Asset lifecycle</x:v>
      </x:c>
      <x:c r="D124" s="8" t="str">
        <x:v>Model condition evidence and ownership rights</x:v>
      </x:c>
      <x:c r="E124" s="8" t="str">
        <x:v>Product/domain lead</x:v>
      </x:c>
      <x:c r="F124" s="8" t="str">
        <x:v>Not started</x:v>
      </x:c>
      <x:c r="G124" s="4" t="b">
        <x:v>0</x:v>
      </x:c>
      <x:c r="H124" s="2" t="str">
        <x:f>IF(COUNTIFS($A$6:$A$161,A124)&lt;&gt;1,"Duplicate ID",IF(O124&lt;&gt;"Ready","Dependency open",IF(G124=TRUE,IF(AND(F124="Complete",I124&lt;&gt;"",J124&lt;&gt;"",K124&lt;&gt;""),"Verified","Evidence required"),IF(F124="Complete","Check completion",IF(F124="Blocked","Blocked",IF(F124="In progress","In progress",IF(F124="In review","In review","Open")))))))</x:f>
        <x:v>Dependency open</x:v>
      </x:c>
      <x:c r="I124" s="2" t="str"/>
      <x:c r="J124" s="2" t="str"/>
      <x:c r="K124" s="2" t="str"/>
      <x:c r="L124" s="2" t="str">
        <x:v>P09.01.01</x:v>
      </x:c>
      <x:c r="M124" s="2" t="str"/>
      <x:c r="N124" s="2" t="str"/>
      <x:c r="O124" s="2" t="str">
        <x:f>IF(AND(OR(L124="",_xlfn.IFNA(VLOOKUP(L124,$A$6:$H$123,8,FALSE),"Missing")="Verified"),OR(M124="",_xlfn.IFNA(VLOOKUP(M124,$A$6:$H$123,8,FALSE),"Missing")="Verified"),OR(N124="",_xlfn.IFNA(VLOOKUP(N124,$A$6:$H$123,8,FALSE),"Missing")="Verified")),"Ready","Dependency open")</x:f>
        <x:v>Dependency open</x:v>
      </x:c>
      <x:c r="P124" s="8" t="str">
        <x:v>Photo is evidence, not authenticity/safety certification</x:v>
      </x:c>
      <x:c r="Q124" s="8" t="str">
        <x:v>Asset contract</x:v>
      </x:c>
      <x:c r="R124" s="9"/>
      <x:c r="S124" s="9" t="n">
        <x:v>6000</x:v>
      </x:c>
      <x:c r="T124" s="2" t="str">
        <x:v>J-U01</x:v>
      </x:c>
      <x:c r="U124" s="8" t="str">
        <x:v>Proposed work; implementation not authorized by this documentation request.</x:v>
      </x:c>
      <x:c r="V124" s="2" t="str">
        <x:v>Expansion</x:v>
      </x:c>
    </x:row>
    <x:row r="125" ht="60" customHeight="1">
      <x:c r="A125" s="2" t="str">
        <x:v>P09.01.03</x:v>
      </x:c>
      <x:c r="B125" s="2" t="str">
        <x:v>P09</x:v>
      </x:c>
      <x:c r="C125" s="8" t="str">
        <x:v>P09.01 Asset lifecycle</x:v>
      </x:c>
      <x:c r="D125" s="8" t="str">
        <x:v>Draft repair-first options and human choice</x:v>
      </x:c>
      <x:c r="E125" s="8" t="str">
        <x:v>Product/domain lead</x:v>
      </x:c>
      <x:c r="F125" s="8" t="str">
        <x:v>Not started</x:v>
      </x:c>
      <x:c r="G125" s="4" t="b">
        <x:v>0</x:v>
      </x:c>
      <x:c r="H125" s="2" t="str">
        <x:f>IF(COUNTIFS($A$6:$A$161,A125)&lt;&gt;1,"Duplicate ID",IF(O125&lt;&gt;"Ready","Dependency open",IF(G125=TRUE,IF(AND(F125="Complete",I125&lt;&gt;"",J125&lt;&gt;"",K125&lt;&gt;""),"Verified","Evidence required"),IF(F125="Complete","Check completion",IF(F125="Blocked","Blocked",IF(F125="In progress","In progress",IF(F125="In review","In review","Open")))))))</x:f>
        <x:v>Dependency open</x:v>
      </x:c>
      <x:c r="I125" s="2" t="str"/>
      <x:c r="J125" s="2" t="str"/>
      <x:c r="K125" s="2" t="str"/>
      <x:c r="L125" s="2" t="str">
        <x:v>P09.01.02</x:v>
      </x:c>
      <x:c r="M125" s="2" t="str"/>
      <x:c r="N125" s="2" t="str"/>
      <x:c r="O125" s="2" t="str">
        <x:f>IF(AND(OR(L125="",_xlfn.IFNA(VLOOKUP(L125,$A$6:$H$124,8,FALSE),"Missing")="Verified"),OR(M125="",_xlfn.IFNA(VLOOKUP(M125,$A$6:$H$124,8,FALSE),"Missing")="Verified"),OR(N125="",_xlfn.IFNA(VLOOKUP(N125,$A$6:$H$124,8,FALSE),"Missing")="Verified")),"Ready","Dependency open")</x:f>
        <x:v>Dependency open</x:v>
      </x:c>
      <x:c r="P125" s="8" t="str">
        <x:v>AI summarizes issue; technician owns diagnosis</x:v>
      </x:c>
      <x:c r="Q125" s="8" t="str">
        <x:v>Repair journey review</x:v>
      </x:c>
      <x:c r="R125" s="9"/>
      <x:c r="S125" s="9" t="n">
        <x:v>6000</x:v>
      </x:c>
      <x:c r="T125" s="2" t="str">
        <x:v>J-U01</x:v>
      </x:c>
      <x:c r="U125" s="8" t="str">
        <x:v>Proposed work; implementation not authorized by this documentation request.</x:v>
      </x:c>
      <x:c r="V125" s="2" t="str">
        <x:v>Expansion</x:v>
      </x:c>
    </x:row>
    <x:row r="126" ht="60" customHeight="1">
      <x:c r="A126" s="2" t="str">
        <x:v>P09.01.04</x:v>
      </x:c>
      <x:c r="B126" s="2" t="str">
        <x:v>P09</x:v>
      </x:c>
      <x:c r="C126" s="8" t="str">
        <x:v>P09.01 Asset lifecycle</x:v>
      </x:c>
      <x:c r="D126" s="8" t="str">
        <x:v>Capture completed repair or transfer outcome</x:v>
      </x:c>
      <x:c r="E126" s="8" t="str">
        <x:v>Product/domain lead</x:v>
      </x:c>
      <x:c r="F126" s="8" t="str">
        <x:v>Not started</x:v>
      </x:c>
      <x:c r="G126" s="4" t="b">
        <x:v>0</x:v>
      </x:c>
      <x:c r="H126" s="2" t="str">
        <x:f>IF(COUNTIFS($A$6:$A$161,A126)&lt;&gt;1,"Duplicate ID",IF(O126&lt;&gt;"Ready","Dependency open",IF(G126=TRUE,IF(AND(F126="Complete",I126&lt;&gt;"",J126&lt;&gt;"",K126&lt;&gt;""),"Verified","Evidence required"),IF(F126="Complete","Check completion",IF(F126="Blocked","Blocked",IF(F126="In progress","In progress",IF(F126="In review","In review","Open")))))))</x:f>
        <x:v>Dependency open</x:v>
      </x:c>
      <x:c r="I126" s="2" t="str"/>
      <x:c r="J126" s="2" t="str"/>
      <x:c r="K126" s="2" t="str"/>
      <x:c r="L126" s="2" t="str">
        <x:v>P09.01.03</x:v>
      </x:c>
      <x:c r="M126" s="2" t="str"/>
      <x:c r="N126" s="2" t="str"/>
      <x:c r="O126" s="2" t="str">
        <x:f>IF(AND(OR(L126="",_xlfn.IFNA(VLOOKUP(L126,$A$6:$H$125,8,FALSE),"Missing")="Verified"),OR(M126="",_xlfn.IFNA(VLOOKUP(M126,$A$6:$H$125,8,FALSE),"Missing")="Verified"),OR(N126="",_xlfn.IFNA(VLOOKUP(N126,$A$6:$H$125,8,FALSE),"Missing")="Verified")),"Ready","Dependency open")</x:f>
        <x:v>Dependency open</x:v>
      </x:c>
      <x:c r="P126" s="8" t="str">
        <x:v>Acceptance and actual service evidence required</x:v>
      </x:c>
      <x:c r="Q126" s="8" t="str">
        <x:v>Outcome record</x:v>
      </x:c>
      <x:c r="R126" s="9"/>
      <x:c r="S126" s="9" t="n">
        <x:v>6000</x:v>
      </x:c>
      <x:c r="T126" s="2" t="str">
        <x:v>J-U01</x:v>
      </x:c>
      <x:c r="U126" s="8" t="str">
        <x:v>Proposed work; implementation not authorized by this documentation request.</x:v>
      </x:c>
      <x:c r="V126" s="2" t="str">
        <x:v>Expansion</x:v>
      </x:c>
    </x:row>
    <x:row r="127" ht="60" customHeight="1">
      <x:c r="A127" s="2" t="str">
        <x:v>P09.02.01</x:v>
      </x:c>
      <x:c r="B127" s="2" t="str">
        <x:v>P09</x:v>
      </x:c>
      <x:c r="C127" s="8" t="str">
        <x:v>P09.02 Service marketplace</x:v>
      </x:c>
      <x:c r="D127" s="8" t="str">
        <x:v>Verify repair and reuse partners</x:v>
      </x:c>
      <x:c r="E127" s="8" t="str">
        <x:v>Partner lead</x:v>
      </x:c>
      <x:c r="F127" s="8" t="str">
        <x:v>Not started</x:v>
      </x:c>
      <x:c r="G127" s="4" t="b">
        <x:v>0</x:v>
      </x:c>
      <x:c r="H127" s="2" t="str">
        <x:f>IF(COUNTIFS($A$6:$A$161,A127)&lt;&gt;1,"Duplicate ID",IF(O127&lt;&gt;"Ready","Dependency open",IF(G127=TRUE,IF(AND(F127="Complete",I127&lt;&gt;"",J127&lt;&gt;"",K127&lt;&gt;""),"Verified","Evidence required"),IF(F127="Complete","Check completion",IF(F127="Blocked","Blocked",IF(F127="In progress","In progress",IF(F127="In review","In review","Open")))))))</x:f>
        <x:v>Dependency open</x:v>
      </x:c>
      <x:c r="I127" s="2" t="str"/>
      <x:c r="J127" s="2" t="str"/>
      <x:c r="K127" s="2" t="str"/>
      <x:c r="L127" s="2" t="str">
        <x:v>P08.90.01</x:v>
      </x:c>
      <x:c r="M127" s="2" t="str"/>
      <x:c r="N127" s="2" t="str"/>
      <x:c r="O127" s="2" t="str">
        <x:f>IF(AND(OR(L127="",_xlfn.IFNA(VLOOKUP(L127,$A$6:$H$126,8,FALSE),"Missing")="Verified"),OR(M127="",_xlfn.IFNA(VLOOKUP(M127,$A$6:$H$126,8,FALSE),"Missing")="Verified"),OR(N127="",_xlfn.IFNA(VLOOKUP(N127,$A$6:$H$126,8,FALSE),"Missing")="Verified")),"Ready","Dependency open")</x:f>
        <x:v>Dependency open</x:v>
      </x:c>
      <x:c r="P127" s="8" t="str">
        <x:v>Geography, accepted items, credentials and liability agreed</x:v>
      </x:c>
      <x:c r="Q127" s="8" t="str">
        <x:v>Partner records</x:v>
      </x:c>
      <x:c r="R127" s="9"/>
      <x:c r="S127" s="9" t="n">
        <x:v>6000</x:v>
      </x:c>
      <x:c r="T127" s="2" t="str">
        <x:v>J-U01</x:v>
      </x:c>
      <x:c r="U127" s="8" t="str">
        <x:v>Proposed work; implementation not authorized by this documentation request.</x:v>
      </x:c>
      <x:c r="V127" s="2" t="str">
        <x:v>Expansion</x:v>
      </x:c>
    </x:row>
    <x:row r="128" ht="60" customHeight="1">
      <x:c r="A128" s="2" t="str">
        <x:v>P09.02.02</x:v>
      </x:c>
      <x:c r="B128" s="2" t="str">
        <x:v>P09</x:v>
      </x:c>
      <x:c r="C128" s="8" t="str">
        <x:v>P09.02 Service marketplace</x:v>
      </x:c>
      <x:c r="D128" s="8" t="str">
        <x:v>Define availability matching and explicit fees</x:v>
      </x:c>
      <x:c r="E128" s="8" t="str">
        <x:v>Partner lead</x:v>
      </x:c>
      <x:c r="F128" s="8" t="str">
        <x:v>Not started</x:v>
      </x:c>
      <x:c r="G128" s="4" t="b">
        <x:v>0</x:v>
      </x:c>
      <x:c r="H128" s="2" t="str">
        <x:f>IF(COUNTIFS($A$6:$A$161,A128)&lt;&gt;1,"Duplicate ID",IF(O128&lt;&gt;"Ready","Dependency open",IF(G128=TRUE,IF(AND(F128="Complete",I128&lt;&gt;"",J128&lt;&gt;"",K128&lt;&gt;""),"Verified","Evidence required"),IF(F128="Complete","Check completion",IF(F128="Blocked","Blocked",IF(F128="In progress","In progress",IF(F128="In review","In review","Open")))))))</x:f>
        <x:v>Dependency open</x:v>
      </x:c>
      <x:c r="I128" s="2" t="str"/>
      <x:c r="J128" s="2" t="str"/>
      <x:c r="K128" s="2" t="str"/>
      <x:c r="L128" s="2" t="str">
        <x:v>P09.02.01</x:v>
      </x:c>
      <x:c r="M128" s="2" t="str"/>
      <x:c r="N128" s="2" t="str"/>
      <x:c r="O128" s="2" t="str">
        <x:f>IF(AND(OR(L128="",_xlfn.IFNA(VLOOKUP(L128,$A$6:$H$127,8,FALSE),"Missing")="Verified"),OR(M128="",_xlfn.IFNA(VLOOKUP(M128,$A$6:$H$127,8,FALSE),"Missing")="Verified"),OR(N128="",_xlfn.IFNA(VLOOKUP(N128,$A$6:$H$127,8,FALSE),"Missing")="Verified")),"Ready","Dependency open")</x:f>
        <x:v>Dependency open</x:v>
      </x:c>
      <x:c r="P128" s="8" t="str">
        <x:v>Availability consented; no unapproved purchase</x:v>
      </x:c>
      <x:c r="Q128" s="8" t="str">
        <x:v>Matching/quote contract</x:v>
      </x:c>
      <x:c r="R128" s="9"/>
      <x:c r="S128" s="9" t="n">
        <x:v>6000</x:v>
      </x:c>
      <x:c r="T128" s="2" t="str">
        <x:v>J-U01</x:v>
      </x:c>
      <x:c r="U128" s="8" t="str">
        <x:v>Proposed work; implementation not authorized by this documentation request.</x:v>
      </x:c>
      <x:c r="V128" s="2" t="str">
        <x:v>Expansion</x:v>
      </x:c>
    </x:row>
    <x:row r="129" ht="60" customHeight="1">
      <x:c r="A129" s="2" t="str">
        <x:v>P09.02.03</x:v>
      </x:c>
      <x:c r="B129" s="2" t="str">
        <x:v>P09</x:v>
      </x:c>
      <x:c r="C129" s="8" t="str">
        <x:v>P09.02 Service marketplace</x:v>
      </x:c>
      <x:c r="D129" s="8" t="str">
        <x:v>Handle refusal dispute and return</x:v>
      </x:c>
      <x:c r="E129" s="8" t="str">
        <x:v>Partner lead</x:v>
      </x:c>
      <x:c r="F129" s="8" t="str">
        <x:v>Not started</x:v>
      </x:c>
      <x:c r="G129" s="4" t="b">
        <x:v>0</x:v>
      </x:c>
      <x:c r="H129" s="2" t="str">
        <x:f>IF(COUNTIFS($A$6:$A$161,A129)&lt;&gt;1,"Duplicate ID",IF(O129&lt;&gt;"Ready","Dependency open",IF(G129=TRUE,IF(AND(F129="Complete",I129&lt;&gt;"",J129&lt;&gt;"",K129&lt;&gt;""),"Verified","Evidence required"),IF(F129="Complete","Check completion",IF(F129="Blocked","Blocked",IF(F129="In progress","In progress",IF(F129="In review","In review","Open")))))))</x:f>
        <x:v>Dependency open</x:v>
      </x:c>
      <x:c r="I129" s="2" t="str"/>
      <x:c r="J129" s="2" t="str"/>
      <x:c r="K129" s="2" t="str"/>
      <x:c r="L129" s="2" t="str">
        <x:v>P09.02.02</x:v>
      </x:c>
      <x:c r="M129" s="2" t="str"/>
      <x:c r="N129" s="2" t="str"/>
      <x:c r="O129" s="2" t="str">
        <x:f>IF(AND(OR(L129="",_xlfn.IFNA(VLOOKUP(L129,$A$6:$H$128,8,FALSE),"Missing")="Verified"),OR(M129="",_xlfn.IFNA(VLOOKUP(M129,$A$6:$H$128,8,FALSE),"Missing")="Verified"),OR(N129="",_xlfn.IFNA(VLOOKUP(N129,$A$6:$H$128,8,FALSE),"Missing")="Verified")),"Ready","Dependency open")</x:f>
        <x:v>Dependency open</x:v>
      </x:c>
      <x:c r="P129" s="8" t="str">
        <x:v>Custody, ownership and responsibility transitions explicit</x:v>
      </x:c>
      <x:c r="Q129" s="8" t="str">
        <x:v>Exception blueprint</x:v>
      </x:c>
      <x:c r="R129" s="9"/>
      <x:c r="S129" s="9" t="n">
        <x:v>6000</x:v>
      </x:c>
      <x:c r="T129" s="2" t="str">
        <x:v>J-U01</x:v>
      </x:c>
      <x:c r="U129" s="8" t="str">
        <x:v>Proposed work; implementation not authorized by this documentation request.</x:v>
      </x:c>
      <x:c r="V129" s="2" t="str">
        <x:v>Expansion</x:v>
      </x:c>
    </x:row>
    <x:row r="130" ht="60" customHeight="1">
      <x:c r="A130" s="2" t="str">
        <x:v>P09.02.04</x:v>
      </x:c>
      <x:c r="B130" s="2" t="str">
        <x:v>P09</x:v>
      </x:c>
      <x:c r="C130" s="8" t="str">
        <x:v>P09.02 Service marketplace</x:v>
      </x:c>
      <x:c r="D130" s="8" t="str">
        <x:v>Protect private location and contact data</x:v>
      </x:c>
      <x:c r="E130" s="8" t="str">
        <x:v>Partner lead</x:v>
      </x:c>
      <x:c r="F130" s="8" t="str">
        <x:v>Not started</x:v>
      </x:c>
      <x:c r="G130" s="4" t="b">
        <x:v>0</x:v>
      </x:c>
      <x:c r="H130" s="2" t="str">
        <x:f>IF(COUNTIFS($A$6:$A$161,A130)&lt;&gt;1,"Duplicate ID",IF(O130&lt;&gt;"Ready","Dependency open",IF(G130=TRUE,IF(AND(F130="Complete",I130&lt;&gt;"",J130&lt;&gt;"",K130&lt;&gt;""),"Verified","Evidence required"),IF(F130="Complete","Check completion",IF(F130="Blocked","Blocked",IF(F130="In progress","In progress",IF(F130="In review","In review","Open")))))))</x:f>
        <x:v>Dependency open</x:v>
      </x:c>
      <x:c r="I130" s="2" t="str"/>
      <x:c r="J130" s="2" t="str"/>
      <x:c r="K130" s="2" t="str"/>
      <x:c r="L130" s="2" t="str">
        <x:v>P09.02.03</x:v>
      </x:c>
      <x:c r="M130" s="2" t="str"/>
      <x:c r="N130" s="2" t="str"/>
      <x:c r="O130" s="2" t="str">
        <x:f>IF(AND(OR(L130="",_xlfn.IFNA(VLOOKUP(L130,$A$6:$H$129,8,FALSE),"Missing")="Verified"),OR(M130="",_xlfn.IFNA(VLOOKUP(M130,$A$6:$H$129,8,FALSE),"Missing")="Verified"),OR(N130="",_xlfn.IFNA(VLOOKUP(N130,$A$6:$H$129,8,FALSE),"Missing")="Verified")),"Ready","Dependency open")</x:f>
        <x:v>Dependency open</x:v>
      </x:c>
      <x:c r="P130" s="8" t="str">
        <x:v>Share minimum only after consent and match approval</x:v>
      </x:c>
      <x:c r="Q130" s="8" t="str">
        <x:v>Sharing audit</x:v>
      </x:c>
      <x:c r="R130" s="9"/>
      <x:c r="S130" s="9" t="n">
        <x:v>6000</x:v>
      </x:c>
      <x:c r="T130" s="2" t="str">
        <x:v>J-U01</x:v>
      </x:c>
      <x:c r="U130" s="8" t="str">
        <x:v>Proposed work; implementation not authorized by this documentation request.</x:v>
      </x:c>
      <x:c r="V130" s="2" t="str">
        <x:v>Expansion</x:v>
      </x:c>
    </x:row>
    <x:row r="131" ht="60" customHeight="1">
      <x:c r="A131" s="2" t="str">
        <x:v>P09.03.01</x:v>
      </x:c>
      <x:c r="B131" s="2" t="str">
        <x:v>P09</x:v>
      </x:c>
      <x:c r="C131" s="8" t="str">
        <x:v>P09.03 Module validation</x:v>
      </x:c>
      <x:c r="D131" s="8" t="str">
        <x:v>Build category-specific rule and AI baselines</x:v>
      </x:c>
      <x:c r="E131" s="8" t="str">
        <x:v>Evaluation reviewer</x:v>
      </x:c>
      <x:c r="F131" s="8" t="str">
        <x:v>Not started</x:v>
      </x:c>
      <x:c r="G131" s="4" t="b">
        <x:v>0</x:v>
      </x:c>
      <x:c r="H131" s="2" t="str">
        <x:f>IF(COUNTIFS($A$6:$A$161,A131)&lt;&gt;1,"Duplicate ID",IF(O131&lt;&gt;"Ready","Dependency open",IF(G131=TRUE,IF(AND(F131="Complete",I131&lt;&gt;"",J131&lt;&gt;"",K131&lt;&gt;""),"Verified","Evidence required"),IF(F131="Complete","Check completion",IF(F131="Blocked","Blocked",IF(F131="In progress","In progress",IF(F131="In review","In review","Open")))))))</x:f>
        <x:v>Dependency open</x:v>
      </x:c>
      <x:c r="I131" s="2" t="str"/>
      <x:c r="J131" s="2" t="str"/>
      <x:c r="K131" s="2" t="str"/>
      <x:c r="L131" s="2" t="str">
        <x:v>P08.90.01</x:v>
      </x:c>
      <x:c r="M131" s="2" t="str"/>
      <x:c r="N131" s="2" t="str"/>
      <x:c r="O131" s="2" t="str">
        <x:f>IF(AND(OR(L131="",_xlfn.IFNA(VLOOKUP(L131,$A$6:$H$130,8,FALSE),"Missing")="Verified"),OR(M131="",_xlfn.IFNA(VLOOKUP(M131,$A$6:$H$130,8,FALSE),"Missing")="Verified"),OR(N131="",_xlfn.IFNA(VLOOKUP(N131,$A$6:$H$130,8,FALSE),"Missing")="Verified")),"Ready","Dependency open")</x:f>
        <x:v>Dependency open</x:v>
      </x:c>
      <x:c r="P131" s="8" t="str">
        <x:v>Same diagnosis evidence; no autonomous unsafe repair advice</x:v>
      </x:c>
      <x:c r="Q131" s="8" t="str">
        <x:v>U evaluation protocol</x:v>
      </x:c>
      <x:c r="R131" s="9"/>
      <x:c r="S131" s="9" t="n">
        <x:v>6000</x:v>
      </x:c>
      <x:c r="T131" s="2" t="str">
        <x:v>J-U01</x:v>
      </x:c>
      <x:c r="U131" s="8" t="str">
        <x:v>Proposed work; implementation not authorized by this documentation request.</x:v>
      </x:c>
      <x:c r="V131" s="2" t="str">
        <x:v>Expansion</x:v>
      </x:c>
    </x:row>
    <x:row r="132" ht="60" customHeight="1">
      <x:c r="A132" s="2" t="str">
        <x:v>P09.03.02</x:v>
      </x:c>
      <x:c r="B132" s="2" t="str">
        <x:v>P09</x:v>
      </x:c>
      <x:c r="C132" s="8" t="str">
        <x:v>P09.03 Module validation</x:v>
      </x:c>
      <x:c r="D132" s="8" t="str">
        <x:v>Test identity fraud and prohibited material cases</x:v>
      </x:c>
      <x:c r="E132" s="8" t="str">
        <x:v>Evaluation reviewer</x:v>
      </x:c>
      <x:c r="F132" s="8" t="str">
        <x:v>Not started</x:v>
      </x:c>
      <x:c r="G132" s="4" t="b">
        <x:v>0</x:v>
      </x:c>
      <x:c r="H132" s="2" t="str">
        <x:f>IF(COUNTIFS($A$6:$A$161,A132)&lt;&gt;1,"Duplicate ID",IF(O132&lt;&gt;"Ready","Dependency open",IF(G132=TRUE,IF(AND(F132="Complete",I132&lt;&gt;"",J132&lt;&gt;"",K132&lt;&gt;""),"Verified","Evidence required"),IF(F132="Complete","Check completion",IF(F132="Blocked","Blocked",IF(F132="In progress","In progress",IF(F132="In review","In review","Open")))))))</x:f>
        <x:v>Dependency open</x:v>
      </x:c>
      <x:c r="I132" s="2" t="str"/>
      <x:c r="J132" s="2" t="str"/>
      <x:c r="K132" s="2" t="str"/>
      <x:c r="L132" s="2" t="str">
        <x:v>P09.03.01</x:v>
      </x:c>
      <x:c r="M132" s="2" t="str"/>
      <x:c r="N132" s="2" t="str"/>
      <x:c r="O132" s="2" t="str">
        <x:f>IF(AND(OR(L132="",_xlfn.IFNA(VLOOKUP(L132,$A$6:$H$131,8,FALSE),"Missing")="Verified"),OR(M132="",_xlfn.IFNA(VLOOKUP(M132,$A$6:$H$131,8,FALSE),"Missing")="Verified"),OR(N132="",_xlfn.IFNA(VLOOKUP(N132,$A$6:$H$131,8,FALSE),"Missing")="Verified")),"Ready","Dependency open")</x:f>
        <x:v>Dependency open</x:v>
      </x:c>
      <x:c r="P132" s="8" t="str">
        <x:v>Unsafe/hazardous/ownership-unclear listings blocked</x:v>
      </x:c>
      <x:c r="Q132" s="8" t="str">
        <x:v>Negative cases</x:v>
      </x:c>
      <x:c r="R132" s="9"/>
      <x:c r="S132" s="9" t="n">
        <x:v>6000</x:v>
      </x:c>
      <x:c r="T132" s="2" t="str">
        <x:v>J-U01</x:v>
      </x:c>
      <x:c r="U132" s="8" t="str">
        <x:v>Proposed work; implementation not authorized by this documentation request.</x:v>
      </x:c>
      <x:c r="V132" s="2" t="str">
        <x:v>Expansion</x:v>
      </x:c>
    </x:row>
    <x:row r="133" ht="60" customHeight="1">
      <x:c r="A133" s="2" t="str">
        <x:v>P09.03.03</x:v>
      </x:c>
      <x:c r="B133" s="2" t="str">
        <x:v>P09</x:v>
      </x:c>
      <x:c r="C133" s="8" t="str">
        <x:v>P09.03 Module validation</x:v>
      </x:c>
      <x:c r="D133" s="8" t="str">
        <x:v>Pilot with one authorized partner</x:v>
      </x:c>
      <x:c r="E133" s="8" t="str">
        <x:v>Evaluation reviewer</x:v>
      </x:c>
      <x:c r="F133" s="8" t="str">
        <x:v>Not started</x:v>
      </x:c>
      <x:c r="G133" s="4" t="b">
        <x:v>0</x:v>
      </x:c>
      <x:c r="H133" s="2" t="str">
        <x:f>IF(COUNTIFS($A$6:$A$161,A133)&lt;&gt;1,"Duplicate ID",IF(O133&lt;&gt;"Ready","Dependency open",IF(G133=TRUE,IF(AND(F133="Complete",I133&lt;&gt;"",J133&lt;&gt;"",K133&lt;&gt;""),"Verified","Evidence required"),IF(F133="Complete","Check completion",IF(F133="Blocked","Blocked",IF(F133="In progress","In progress",IF(F133="In review","In review","Open")))))))</x:f>
        <x:v>Dependency open</x:v>
      </x:c>
      <x:c r="I133" s="2" t="str"/>
      <x:c r="J133" s="2" t="str"/>
      <x:c r="K133" s="2" t="str"/>
      <x:c r="L133" s="2" t="str">
        <x:v>P09.03.02</x:v>
      </x:c>
      <x:c r="M133" s="2" t="str"/>
      <x:c r="N133" s="2" t="str"/>
      <x:c r="O133" s="2" t="str">
        <x:f>IF(AND(OR(L133="",_xlfn.IFNA(VLOOKUP(L133,$A$6:$H$132,8,FALSE),"Missing")="Verified"),OR(M133="",_xlfn.IFNA(VLOOKUP(M133,$A$6:$H$132,8,FALSE),"Missing")="Verified"),OR(N133="",_xlfn.IFNA(VLOOKUP(N133,$A$6:$H$132,8,FALSE),"Missing")="Verified")),"Ready","Dependency open")</x:f>
        <x:v>Dependency open</x:v>
      </x:c>
      <x:c r="P133" s="8" t="str">
        <x:v>Repair success, time/cost and follow-through measured</x:v>
      </x:c>
      <x:c r="Q133" s="8" t="str">
        <x:v>Pilot results</x:v>
      </x:c>
      <x:c r="R133" s="9"/>
      <x:c r="S133" s="9" t="n">
        <x:v>6000</x:v>
      </x:c>
      <x:c r="T133" s="2" t="str">
        <x:v>J-U01</x:v>
      </x:c>
      <x:c r="U133" s="8" t="str">
        <x:v>Proposed work; implementation not authorized by this documentation request.</x:v>
      </x:c>
      <x:c r="V133" s="2" t="str">
        <x:v>Expansion</x:v>
      </x:c>
    </x:row>
    <x:row r="134" ht="60" customHeight="1">
      <x:c r="A134" s="2" t="str">
        <x:v>P09.03.04</x:v>
      </x:c>
      <x:c r="B134" s="2" t="str">
        <x:v>P09</x:v>
      </x:c>
      <x:c r="C134" s="8" t="str">
        <x:v>P09.03 Module validation</x:v>
      </x:c>
      <x:c r="D134" s="8" t="str">
        <x:v>Gate broader materials exchange</x:v>
      </x:c>
      <x:c r="E134" s="8" t="str">
        <x:v>Evaluation reviewer</x:v>
      </x:c>
      <x:c r="F134" s="8" t="str">
        <x:v>Not started</x:v>
      </x:c>
      <x:c r="G134" s="4" t="b">
        <x:v>0</x:v>
      </x:c>
      <x:c r="H134" s="2" t="str">
        <x:f>IF(COUNTIFS($A$6:$A$161,A134)&lt;&gt;1,"Duplicate ID",IF(O134&lt;&gt;"Ready","Dependency open",IF(G134=TRUE,IF(AND(F134="Complete",I134&lt;&gt;"",J134&lt;&gt;"",K134&lt;&gt;""),"Verified","Evidence required"),IF(F134="Complete","Check completion",IF(F134="Blocked","Blocked",IF(F134="In progress","In progress",IF(F134="In review","In review","Open")))))))</x:f>
        <x:v>Dependency open</x:v>
      </x:c>
      <x:c r="I134" s="2" t="str"/>
      <x:c r="J134" s="2" t="str"/>
      <x:c r="K134" s="2" t="str"/>
      <x:c r="L134" s="2" t="str">
        <x:v>P09.03.03</x:v>
      </x:c>
      <x:c r="M134" s="2" t="str"/>
      <x:c r="N134" s="2" t="str"/>
      <x:c r="O134" s="2" t="str">
        <x:f>IF(AND(OR(L134="",_xlfn.IFNA(VLOOKUP(L134,$A$6:$H$133,8,FALSE),"Missing")="Verified"),OR(M134="",_xlfn.IFNA(VLOOKUP(M134,$A$6:$H$133,8,FALSE),"Missing")="Verified"),OR(N134="",_xlfn.IFNA(VLOOKUP(N134,$A$6:$H$133,8,FALSE),"Missing")="Verified")),"Ready","Dependency open")</x:f>
        <x:v>Dependency open</x:v>
      </x:c>
      <x:c r="P134" s="8" t="str">
        <x:v>Repeat demand and viable trust costs demonstrated</x:v>
      </x:c>
      <x:c r="Q134" s="8" t="str">
        <x:v>Reuse expansion decision</x:v>
      </x:c>
      <x:c r="R134" s="9"/>
      <x:c r="S134" s="9" t="n">
        <x:v>6000</x:v>
      </x:c>
      <x:c r="T134" s="2" t="str">
        <x:v>J-U01</x:v>
      </x:c>
      <x:c r="U134" s="8" t="str">
        <x:v>Proposed work; implementation not authorized by this documentation request.</x:v>
      </x:c>
      <x:c r="V134" s="2" t="str">
        <x:v>Expansion</x:v>
      </x:c>
    </x:row>
    <x:row r="135" ht="60" customHeight="1">
      <x:c r="A135" s="2" t="str">
        <x:v>P09.90.01</x:v>
      </x:c>
      <x:c r="B135" s="2" t="str">
        <x:v>P09</x:v>
      </x:c>
      <x:c r="C135" s="8" t="str">
        <x:v>P09.90 Phase gate</x:v>
      </x:c>
      <x:c r="D135" s="8" t="str">
        <x:v>Review and accept repair reuse and material exchange discovery</x:v>
      </x:c>
      <x:c r="E135" s="8" t="str">
        <x:v>Product owner + independent reviewer</x:v>
      </x:c>
      <x:c r="F135" s="8" t="str">
        <x:v>Not started</x:v>
      </x:c>
      <x:c r="G135" s="4" t="b">
        <x:v>0</x:v>
      </x:c>
      <x:c r="H135" s="2" t="str">
        <x:f>IF(COUNTIFS($A$6:$A$161,A135)&lt;&gt;1,"Duplicate ID",IF(O135&lt;&gt;"Ready","Dependency open",IF(G135=TRUE,IF(AND(F135="Complete",I135&lt;&gt;"",J135&lt;&gt;"",K135&lt;&gt;""),"Verified","Evidence required"),IF(F135="Complete","Check completion",IF(F135="Blocked","Blocked",IF(F135="In progress","In progress",IF(F135="In review","In review","Open")))))))</x:f>
        <x:v>Dependency open</x:v>
      </x:c>
      <x:c r="I135" s="2" t="str"/>
      <x:c r="J135" s="2" t="str"/>
      <x:c r="K135" s="2" t="str"/>
      <x:c r="L135" s="2" t="str">
        <x:v>P09.01.04</x:v>
      </x:c>
      <x:c r="M135" s="2" t="str">
        <x:v>P09.02.04</x:v>
      </x:c>
      <x:c r="N135" s="2" t="str">
        <x:v>P09.03.04</x:v>
      </x:c>
      <x:c r="O135" s="2" t="str">
        <x:f>IF(AND(OR(L135="",_xlfn.IFNA(VLOOKUP(L135,$A$6:$H$134,8,FALSE),"Missing")="Verified"),OR(M135="",_xlfn.IFNA(VLOOKUP(M135,$A$6:$H$134,8,FALSE),"Missing")="Verified"),OR(N135="",_xlfn.IFNA(VLOOKUP(N135,$A$6:$H$134,8,FALSE),"Missing")="Verified")),"Ready","Dependency open")</x:f>
        <x:v>Dependency open</x:v>
      </x:c>
      <x:c r="P135" s="8" t="str">
        <x:v>All prerequisites verified; critical risks closed or explicitly rejected for rollout; human records go/revise/stop decision.</x:v>
      </x:c>
      <x:c r="Q135" s="8" t="str">
        <x:v>Phase gate record with reviewer, evidence links, residual risks and next scope</x:v>
      </x:c>
      <x:c r="R135" s="9"/>
      <x:c r="S135" s="9" t="n">
        <x:v>4000</x:v>
      </x:c>
      <x:c r="T135" s="2" t="str">
        <x:v>P09-GATE</x:v>
      </x:c>
      <x:c r="U135" s="8" t="str">
        <x:v>Unchecked until phase evidence is reviewed. A written plan is not implementation evidence.</x:v>
      </x:c>
      <x:c r="V135" s="2" t="str">
        <x:v>Expansion</x:v>
      </x:c>
    </x:row>
    <x:row r="136" ht="60" customHeight="1">
      <x:c r="A136" s="2" t="str">
        <x:v>P10.01.01</x:v>
      </x:c>
      <x:c r="B136" s="2" t="str">
        <x:v>P10</x:v>
      </x:c>
      <x:c r="C136" s="8" t="str">
        <x:v>P10.01 Energy decisions</x:v>
      </x:c>
      <x:c r="D136" s="8" t="str">
        <x:v>Identify consenting site and actionable decision</x:v>
      </x:c>
      <x:c r="E136" s="8" t="str">
        <x:v>Energy domain lead</x:v>
      </x:c>
      <x:c r="F136" s="8" t="str">
        <x:v>Not started</x:v>
      </x:c>
      <x:c r="G136" s="4" t="b">
        <x:v>0</x:v>
      </x:c>
      <x:c r="H136" s="2" t="str">
        <x:f>IF(COUNTIFS($A$6:$A$161,A136)&lt;&gt;1,"Duplicate ID",IF(O136&lt;&gt;"Ready","Dependency open",IF(G136=TRUE,IF(AND(F136="Complete",I136&lt;&gt;"",J136&lt;&gt;"",K136&lt;&gt;""),"Verified","Evidence required"),IF(F136="Complete","Check completion",IF(F136="Blocked","Blocked",IF(F136="In progress","In progress",IF(F136="In review","In review","Open")))))))</x:f>
        <x:v>Dependency open</x:v>
      </x:c>
      <x:c r="I136" s="2" t="str"/>
      <x:c r="J136" s="2" t="str"/>
      <x:c r="K136" s="2" t="str"/>
      <x:c r="L136" s="2" t="str">
        <x:v>P08.90.01</x:v>
      </x:c>
      <x:c r="M136" s="2" t="str"/>
      <x:c r="N136" s="2" t="str"/>
      <x:c r="O136" s="2" t="str">
        <x:f>IF(AND(OR(L136="",_xlfn.IFNA(VLOOKUP(L136,$A$6:$H$135,8,FALSE),"Missing")="Verified"),OR(M136="",_xlfn.IFNA(VLOOKUP(M136,$A$6:$H$135,8,FALSE),"Missing")="Verified"),OR(N136="",_xlfn.IFNA(VLOOKUP(N136,$A$6:$H$135,8,FALSE),"Missing")="Verified")),"Ready","Dependency open")</x:f>
        <x:v>Dependency open</x:v>
      </x:c>
      <x:c r="P136" s="8" t="str">
        <x:v>Bill review or schedule advisory selected; no device control</x:v>
      </x:c>
      <x:c r="Q136" s="8" t="str">
        <x:v>J-E01 scope</x:v>
      </x:c>
      <x:c r="R136" s="9"/>
      <x:c r="S136" s="9" t="n">
        <x:v>6000</x:v>
      </x:c>
      <x:c r="T136" s="2" t="str">
        <x:v>J-E01 / J-W01</x:v>
      </x:c>
      <x:c r="U136" s="8" t="str">
        <x:v>Proposed work; implementation not authorized by this documentation request.</x:v>
      </x:c>
      <x:c r="V136" s="2" t="str">
        <x:v>Expansion</x:v>
      </x:c>
    </x:row>
    <x:row r="137" ht="60" customHeight="1">
      <x:c r="A137" s="2" t="str">
        <x:v>P10.01.02</x:v>
      </x:c>
      <x:c r="B137" s="2" t="str">
        <x:v>P10</x:v>
      </x:c>
      <x:c r="C137" s="8" t="str">
        <x:v>P10.01 Energy decisions</x:v>
      </x:c>
      <x:c r="D137" s="8" t="str">
        <x:v>Verify meter bill and tariff data rights</x:v>
      </x:c>
      <x:c r="E137" s="8" t="str">
        <x:v>Energy domain lead</x:v>
      </x:c>
      <x:c r="F137" s="8" t="str">
        <x:v>Not started</x:v>
      </x:c>
      <x:c r="G137" s="4" t="b">
        <x:v>0</x:v>
      </x:c>
      <x:c r="H137" s="2" t="str">
        <x:f>IF(COUNTIFS($A$6:$A$161,A137)&lt;&gt;1,"Duplicate ID",IF(O137&lt;&gt;"Ready","Dependency open",IF(G137=TRUE,IF(AND(F137="Complete",I137&lt;&gt;"",J137&lt;&gt;"",K137&lt;&gt;""),"Verified","Evidence required"),IF(F137="Complete","Check completion",IF(F137="Blocked","Blocked",IF(F137="In progress","In progress",IF(F137="In review","In review","Open")))))))</x:f>
        <x:v>Dependency open</x:v>
      </x:c>
      <x:c r="I137" s="2" t="str"/>
      <x:c r="J137" s="2" t="str"/>
      <x:c r="K137" s="2" t="str"/>
      <x:c r="L137" s="2" t="str">
        <x:v>P10.01.01</x:v>
      </x:c>
      <x:c r="M137" s="2" t="str"/>
      <x:c r="N137" s="2" t="str"/>
      <x:c r="O137" s="2" t="str">
        <x:f>IF(AND(OR(L137="",_xlfn.IFNA(VLOOKUP(L137,$A$6:$H$136,8,FALSE),"Missing")="Verified"),OR(M137="",_xlfn.IFNA(VLOOKUP(M137,$A$6:$H$136,8,FALSE),"Missing")="Verified"),OR(N137="",_xlfn.IFNA(VLOOKUP(N137,$A$6:$H$136,8,FALSE),"Missing")="Verified")),"Ready","Dependency open")</x:f>
        <x:v>Dependency open</x:v>
      </x:c>
      <x:c r="P137" s="8" t="str">
        <x:v>Units, periods, calibration and legitimate access documented</x:v>
      </x:c>
      <x:c r="Q137" s="8" t="str">
        <x:v>Energy data contract</x:v>
      </x:c>
      <x:c r="R137" s="9"/>
      <x:c r="S137" s="9" t="n">
        <x:v>6000</x:v>
      </x:c>
      <x:c r="T137" s="2" t="str">
        <x:v>J-E01 / J-W01</x:v>
      </x:c>
      <x:c r="U137" s="8" t="str">
        <x:v>Proposed work; implementation not authorized by this documentation request.</x:v>
      </x:c>
      <x:c r="V137" s="2" t="str">
        <x:v>Expansion</x:v>
      </x:c>
    </x:row>
    <x:row r="138" ht="60" customHeight="1">
      <x:c r="A138" s="2" t="str">
        <x:v>P10.01.03</x:v>
      </x:c>
      <x:c r="B138" s="2" t="str">
        <x:v>P10</x:v>
      </x:c>
      <x:c r="C138" s="8" t="str">
        <x:v>P10.01 Energy decisions</x:v>
      </x:c>
      <x:c r="D138" s="8" t="str">
        <x:v>Build deterministic normalized baseline</x:v>
      </x:c>
      <x:c r="E138" s="8" t="str">
        <x:v>Energy domain lead</x:v>
      </x:c>
      <x:c r="F138" s="8" t="str">
        <x:v>Not started</x:v>
      </x:c>
      <x:c r="G138" s="4" t="b">
        <x:v>0</x:v>
      </x:c>
      <x:c r="H138" s="2" t="str">
        <x:f>IF(COUNTIFS($A$6:$A$161,A138)&lt;&gt;1,"Duplicate ID",IF(O138&lt;&gt;"Ready","Dependency open",IF(G138=TRUE,IF(AND(F138="Complete",I138&lt;&gt;"",J138&lt;&gt;"",K138&lt;&gt;""),"Verified","Evidence required"),IF(F138="Complete","Check completion",IF(F138="Blocked","Blocked",IF(F138="In progress","In progress",IF(F138="In review","In review","Open")))))))</x:f>
        <x:v>Dependency open</x:v>
      </x:c>
      <x:c r="I138" s="2" t="str"/>
      <x:c r="J138" s="2" t="str"/>
      <x:c r="K138" s="2" t="str"/>
      <x:c r="L138" s="2" t="str">
        <x:v>P10.01.02</x:v>
      </x:c>
      <x:c r="M138" s="2" t="str"/>
      <x:c r="N138" s="2" t="str"/>
      <x:c r="O138" s="2" t="str">
        <x:f>IF(AND(OR(L138="",_xlfn.IFNA(VLOOKUP(L138,$A$6:$H$137,8,FALSE),"Missing")="Verified"),OR(M138="",_xlfn.IFNA(VLOOKUP(M138,$A$6:$H$137,8,FALSE),"Missing")="Verified"),OR(N138="",_xlfn.IFNA(VLOOKUP(N138,$A$6:$H$137,8,FALSE),"Missing")="Verified")),"Ready","Dependency open")</x:f>
        <x:v>Dependency open</x:v>
      </x:c>
      <x:c r="P138" s="8" t="str">
        <x:v>Weather/occupancy/period effects considered; uncertainty explicit</x:v>
      </x:c>
      <x:c r="Q138" s="8" t="str">
        <x:v>Baseline method</x:v>
      </x:c>
      <x:c r="R138" s="9"/>
      <x:c r="S138" s="9" t="n">
        <x:v>6000</x:v>
      </x:c>
      <x:c r="T138" s="2" t="str">
        <x:v>J-E01 / J-W01</x:v>
      </x:c>
      <x:c r="U138" s="8" t="str">
        <x:v>Proposed work; implementation not authorized by this documentation request.</x:v>
      </x:c>
      <x:c r="V138" s="2" t="str">
        <x:v>Expansion</x:v>
      </x:c>
    </x:row>
    <x:row r="139" ht="60" customHeight="1">
      <x:c r="A139" s="2" t="str">
        <x:v>P10.01.04</x:v>
      </x:c>
      <x:c r="B139" s="2" t="str">
        <x:v>P10</x:v>
      </x:c>
      <x:c r="C139" s="8" t="str">
        <x:v>P10.01 Energy decisions</x:v>
      </x:c>
      <x:c r="D139" s="8" t="str">
        <x:v>Evaluate advisory with human authorization</x:v>
      </x:c>
      <x:c r="E139" s="8" t="str">
        <x:v>Energy domain lead</x:v>
      </x:c>
      <x:c r="F139" s="8" t="str">
        <x:v>Not started</x:v>
      </x:c>
      <x:c r="G139" s="4" t="b">
        <x:v>0</x:v>
      </x:c>
      <x:c r="H139" s="2" t="str">
        <x:f>IF(COUNTIFS($A$6:$A$161,A139)&lt;&gt;1,"Duplicate ID",IF(O139&lt;&gt;"Ready","Dependency open",IF(G139=TRUE,IF(AND(F139="Complete",I139&lt;&gt;"",J139&lt;&gt;"",K139&lt;&gt;""),"Verified","Evidence required"),IF(F139="Complete","Check completion",IF(F139="Blocked","Blocked",IF(F139="In progress","In progress",IF(F139="In review","In review","Open")))))))</x:f>
        <x:v>Dependency open</x:v>
      </x:c>
      <x:c r="I139" s="2" t="str"/>
      <x:c r="J139" s="2" t="str"/>
      <x:c r="K139" s="2" t="str"/>
      <x:c r="L139" s="2" t="str">
        <x:v>P10.01.03</x:v>
      </x:c>
      <x:c r="M139" s="2" t="str"/>
      <x:c r="N139" s="2" t="str"/>
      <x:c r="O139" s="2" t="str">
        <x:f>IF(AND(OR(L139="",_xlfn.IFNA(VLOOKUP(L139,$A$6:$H$138,8,FALSE),"Missing")="Verified"),OR(M139="",_xlfn.IFNA(VLOOKUP(M139,$A$6:$H$138,8,FALSE),"Missing")="Verified"),OR(N139="",_xlfn.IFNA(VLOOKUP(N139,$A$6:$H$138,8,FALSE),"Missing")="Verified")),"Ready","Dependency open")</x:f>
        <x:v>Dependency open</x:v>
      </x:c>
      <x:c r="P139" s="8" t="str">
        <x:v>Measured kWh and comfort/service constraints retained</x:v>
      </x:c>
      <x:c r="Q139" s="8" t="str">
        <x:v>Energy validation results</x:v>
      </x:c>
      <x:c r="R139" s="9"/>
      <x:c r="S139" s="9" t="n">
        <x:v>6000</x:v>
      </x:c>
      <x:c r="T139" s="2" t="str">
        <x:v>J-E01 / J-W01</x:v>
      </x:c>
      <x:c r="U139" s="8" t="str">
        <x:v>Proposed work; implementation not authorized by this documentation request.</x:v>
      </x:c>
      <x:c r="V139" s="2" t="str">
        <x:v>Expansion</x:v>
      </x:c>
    </x:row>
    <x:row r="140" ht="60" customHeight="1">
      <x:c r="A140" s="2" t="str">
        <x:v>P10.02.01</x:v>
      </x:c>
      <x:c r="B140" s="2" t="str">
        <x:v>P10</x:v>
      </x:c>
      <x:c r="C140" s="8" t="str">
        <x:v>P10.02 Water decisions</x:v>
      </x:c>
      <x:c r="D140" s="8" t="str">
        <x:v>Choose metered conservation or leak workflow</x:v>
      </x:c>
      <x:c r="E140" s="8" t="str">
        <x:v>Water domain lead</x:v>
      </x:c>
      <x:c r="F140" s="8" t="str">
        <x:v>Not started</x:v>
      </x:c>
      <x:c r="G140" s="4" t="b">
        <x:v>0</x:v>
      </x:c>
      <x:c r="H140" s="2" t="str">
        <x:f>IF(COUNTIFS($A$6:$A$161,A140)&lt;&gt;1,"Duplicate ID",IF(O140&lt;&gt;"Ready","Dependency open",IF(G140=TRUE,IF(AND(F140="Complete",I140&lt;&gt;"",J140&lt;&gt;"",K140&lt;&gt;""),"Verified","Evidence required"),IF(F140="Complete","Check completion",IF(F140="Blocked","Blocked",IF(F140="In progress","In progress",IF(F140="In review","In review","Open")))))))</x:f>
        <x:v>Dependency open</x:v>
      </x:c>
      <x:c r="I140" s="2" t="str"/>
      <x:c r="J140" s="2" t="str"/>
      <x:c r="K140" s="2" t="str"/>
      <x:c r="L140" s="2" t="str">
        <x:v>P08.90.01</x:v>
      </x:c>
      <x:c r="M140" s="2" t="str"/>
      <x:c r="N140" s="2" t="str"/>
      <x:c r="O140" s="2" t="str">
        <x:f>IF(AND(OR(L140="",_xlfn.IFNA(VLOOKUP(L140,$A$6:$H$139,8,FALSE),"Missing")="Verified"),OR(M140="",_xlfn.IFNA(VLOOKUP(M140,$A$6:$H$139,8,FALSE),"Missing")="Verified"),OR(N140="",_xlfn.IFNA(VLOOKUP(N140,$A$6:$H$139,8,FALSE),"Missing")="Verified")),"Ready","Dependency open")</x:f>
        <x:v>Dependency open</x:v>
      </x:c>
      <x:c r="P140" s="8" t="str">
        <x:v>Site authority, response operator and measurement boundary set</x:v>
      </x:c>
      <x:c r="Q140" s="8" t="str">
        <x:v>J-W01 scope</x:v>
      </x:c>
      <x:c r="R140" s="9"/>
      <x:c r="S140" s="9" t="n">
        <x:v>6000</x:v>
      </x:c>
      <x:c r="T140" s="2" t="str">
        <x:v>J-E01 / J-W01</x:v>
      </x:c>
      <x:c r="U140" s="8" t="str">
        <x:v>Proposed work; implementation not authorized by this documentation request.</x:v>
      </x:c>
      <x:c r="V140" s="2" t="str">
        <x:v>Expansion</x:v>
      </x:c>
    </x:row>
    <x:row r="141" ht="60" customHeight="1">
      <x:c r="A141" s="2" t="str">
        <x:v>P10.02.02</x:v>
      </x:c>
      <x:c r="B141" s="2" t="str">
        <x:v>P10</x:v>
      </x:c>
      <x:c r="C141" s="8" t="str">
        <x:v>P10.02 Water decisions</x:v>
      </x:c>
      <x:c r="D141" s="8" t="str">
        <x:v>Validate volume time and sensor reliability</x:v>
      </x:c>
      <x:c r="E141" s="8" t="str">
        <x:v>Water domain lead</x:v>
      </x:c>
      <x:c r="F141" s="8" t="str">
        <x:v>Not started</x:v>
      </x:c>
      <x:c r="G141" s="4" t="b">
        <x:v>0</x:v>
      </x:c>
      <x:c r="H141" s="2" t="str">
        <x:f>IF(COUNTIFS($A$6:$A$161,A141)&lt;&gt;1,"Duplicate ID",IF(O141&lt;&gt;"Ready","Dependency open",IF(G141=TRUE,IF(AND(F141="Complete",I141&lt;&gt;"",J141&lt;&gt;"",K141&lt;&gt;""),"Verified","Evidence required"),IF(F141="Complete","Check completion",IF(F141="Blocked","Blocked",IF(F141="In progress","In progress",IF(F141="In review","In review","Open")))))))</x:f>
        <x:v>Dependency open</x:v>
      </x:c>
      <x:c r="I141" s="2" t="str"/>
      <x:c r="J141" s="2" t="str"/>
      <x:c r="K141" s="2" t="str"/>
      <x:c r="L141" s="2" t="str">
        <x:v>P10.02.01</x:v>
      </x:c>
      <x:c r="M141" s="2" t="str"/>
      <x:c r="N141" s="2" t="str"/>
      <x:c r="O141" s="2" t="str">
        <x:f>IF(AND(OR(L141="",_xlfn.IFNA(VLOOKUP(L141,$A$6:$H$140,8,FALSE),"Missing")="Verified"),OR(M141="",_xlfn.IFNA(VLOOKUP(M141,$A$6:$H$140,8,FALSE),"Missing")="Verified"),OR(N141="",_xlfn.IFNA(VLOOKUP(N141,$A$6:$H$140,8,FALSE),"Missing")="Verified")),"Ready","Dependency open")</x:f>
        <x:v>Dependency open</x:v>
      </x:c>
      <x:c r="P141" s="8" t="str">
        <x:v>Missing/offline sensors shown; no invented meter readings</x:v>
      </x:c>
      <x:c r="Q141" s="8" t="str">
        <x:v>Water data contract</x:v>
      </x:c>
      <x:c r="R141" s="9"/>
      <x:c r="S141" s="9" t="n">
        <x:v>6000</x:v>
      </x:c>
      <x:c r="T141" s="2" t="str">
        <x:v>J-E01 / J-W01</x:v>
      </x:c>
      <x:c r="U141" s="8" t="str">
        <x:v>Proposed work; implementation not authorized by this documentation request.</x:v>
      </x:c>
      <x:c r="V141" s="2" t="str">
        <x:v>Expansion</x:v>
      </x:c>
    </x:row>
    <x:row r="142" ht="60" customHeight="1">
      <x:c r="A142" s="2" t="str">
        <x:v>P10.02.03</x:v>
      </x:c>
      <x:c r="B142" s="2" t="str">
        <x:v>P10</x:v>
      </x:c>
      <x:c r="C142" s="8" t="str">
        <x:v>P10.02 Water decisions</x:v>
      </x:c>
      <x:c r="D142" s="8" t="str">
        <x:v>Design human-reviewed anomaly workflow</x:v>
      </x:c>
      <x:c r="E142" s="8" t="str">
        <x:v>Water domain lead</x:v>
      </x:c>
      <x:c r="F142" s="8" t="str">
        <x:v>Not started</x:v>
      </x:c>
      <x:c r="G142" s="4" t="b">
        <x:v>0</x:v>
      </x:c>
      <x:c r="H142" s="2" t="str">
        <x:f>IF(COUNTIFS($A$6:$A$161,A142)&lt;&gt;1,"Duplicate ID",IF(O142&lt;&gt;"Ready","Dependency open",IF(G142=TRUE,IF(AND(F142="Complete",I142&lt;&gt;"",J142&lt;&gt;"",K142&lt;&gt;""),"Verified","Evidence required"),IF(F142="Complete","Check completion",IF(F142="Blocked","Blocked",IF(F142="In progress","In progress",IF(F142="In review","In review","Open")))))))</x:f>
        <x:v>Dependency open</x:v>
      </x:c>
      <x:c r="I142" s="2" t="str"/>
      <x:c r="J142" s="2" t="str"/>
      <x:c r="K142" s="2" t="str"/>
      <x:c r="L142" s="2" t="str">
        <x:v>P10.02.02</x:v>
      </x:c>
      <x:c r="M142" s="2" t="str"/>
      <x:c r="N142" s="2" t="str"/>
      <x:c r="O142" s="2" t="str">
        <x:f>IF(AND(OR(L142="",_xlfn.IFNA(VLOOKUP(L142,$A$6:$H$141,8,FALSE),"Missing")="Verified"),OR(M142="",_xlfn.IFNA(VLOOKUP(M142,$A$6:$H$141,8,FALSE),"Missing")="Verified"),OR(N142="",_xlfn.IFNA(VLOOKUP(N142,$A$6:$H$141,8,FALSE),"Missing")="Verified")),"Ready","Dependency open")</x:f>
        <x:v>Dependency open</x:v>
      </x:c>
      <x:c r="P142" s="8" t="str">
        <x:v>AI explains reports; qualified person authorizes intervention</x:v>
      </x:c>
      <x:c r="Q142" s="8" t="str">
        <x:v>Water journey walkthrough</x:v>
      </x:c>
      <x:c r="R142" s="9"/>
      <x:c r="S142" s="9" t="n">
        <x:v>6000</x:v>
      </x:c>
      <x:c r="T142" s="2" t="str">
        <x:v>J-E01 / J-W01</x:v>
      </x:c>
      <x:c r="U142" s="8" t="str">
        <x:v>Proposed work; implementation not authorized by this documentation request.</x:v>
      </x:c>
      <x:c r="V142" s="2" t="str">
        <x:v>Expansion</x:v>
      </x:c>
    </x:row>
    <x:row r="143" ht="60" customHeight="1">
      <x:c r="A143" s="2" t="str">
        <x:v>P10.02.04</x:v>
      </x:c>
      <x:c r="B143" s="2" t="str">
        <x:v>P10</x:v>
      </x:c>
      <x:c r="C143" s="8" t="str">
        <x:v>P10.02 Water decisions</x:v>
      </x:c>
      <x:c r="D143" s="8" t="str">
        <x:v>Compare against thresholds and existing systems</x:v>
      </x:c>
      <x:c r="E143" s="8" t="str">
        <x:v>Water domain lead</x:v>
      </x:c>
      <x:c r="F143" s="8" t="str">
        <x:v>Not started</x:v>
      </x:c>
      <x:c r="G143" s="4" t="b">
        <x:v>0</x:v>
      </x:c>
      <x:c r="H143" s="2" t="str">
        <x:f>IF(COUNTIFS($A$6:$A$161,A143)&lt;&gt;1,"Duplicate ID",IF(O143&lt;&gt;"Ready","Dependency open",IF(G143=TRUE,IF(AND(F143="Complete",I143&lt;&gt;"",J143&lt;&gt;"",K143&lt;&gt;""),"Verified","Evidence required"),IF(F143="Complete","Check completion",IF(F143="Blocked","Blocked",IF(F143="In progress","In progress",IF(F143="In review","In review","Open")))))))</x:f>
        <x:v>Dependency open</x:v>
      </x:c>
      <x:c r="I143" s="2" t="str"/>
      <x:c r="J143" s="2" t="str"/>
      <x:c r="K143" s="2" t="str"/>
      <x:c r="L143" s="2" t="str">
        <x:v>P10.02.03</x:v>
      </x:c>
      <x:c r="M143" s="2" t="str"/>
      <x:c r="N143" s="2" t="str"/>
      <x:c r="O143" s="2" t="str">
        <x:f>IF(AND(OR(L143="",_xlfn.IFNA(VLOOKUP(L143,$A$6:$H$142,8,FALSE),"Missing")="Verified"),OR(M143="",_xlfn.IFNA(VLOOKUP(M143,$A$6:$H$142,8,FALSE),"Missing")="Verified"),OR(N143="",_xlfn.IFNA(VLOOKUP(N143,$A$6:$H$142,8,FALSE),"Missing")="Verified")),"Ready","Dependency open")</x:f>
        <x:v>Dependency open</x:v>
      </x:c>
      <x:c r="P143" s="8" t="str">
        <x:v>Actual liters and effort evaluated against baseline</x:v>
      </x:c>
      <x:c r="Q143" s="8" t="str">
        <x:v>Water comparative results</x:v>
      </x:c>
      <x:c r="R143" s="9"/>
      <x:c r="S143" s="9" t="n">
        <x:v>6000</x:v>
      </x:c>
      <x:c r="T143" s="2" t="str">
        <x:v>J-E01 / J-W01</x:v>
      </x:c>
      <x:c r="U143" s="8" t="str">
        <x:v>Proposed work; implementation not authorized by this documentation request.</x:v>
      </x:c>
      <x:c r="V143" s="2" t="str">
        <x:v>Expansion</x:v>
      </x:c>
    </x:row>
    <x:row r="144" ht="60" customHeight="1">
      <x:c r="A144" s="2" t="str">
        <x:v>P10.03.01</x:v>
      </x:c>
      <x:c r="B144" s="2" t="str">
        <x:v>P10</x:v>
      </x:c>
      <x:c r="C144" s="8" t="str">
        <x:v>P10.03 Cross-domain accounting</x:v>
      </x:c>
      <x:c r="D144" s="8" t="str">
        <x:v>Separate resource units and causal claims</x:v>
      </x:c>
      <x:c r="E144" s="8" t="str">
        <x:v>Measurement lead</x:v>
      </x:c>
      <x:c r="F144" s="8" t="str">
        <x:v>Not started</x:v>
      </x:c>
      <x:c r="G144" s="4" t="b">
        <x:v>0</x:v>
      </x:c>
      <x:c r="H144" s="2" t="str">
        <x:f>IF(COUNTIFS($A$6:$A$161,A144)&lt;&gt;1,"Duplicate ID",IF(O144&lt;&gt;"Ready","Dependency open",IF(G144=TRUE,IF(AND(F144="Complete",I144&lt;&gt;"",J144&lt;&gt;"",K144&lt;&gt;""),"Verified","Evidence required"),IF(F144="Complete","Check completion",IF(F144="Blocked","Blocked",IF(F144="In progress","In progress",IF(F144="In review","In review","Open")))))))</x:f>
        <x:v>Dependency open</x:v>
      </x:c>
      <x:c r="I144" s="2" t="str"/>
      <x:c r="J144" s="2" t="str"/>
      <x:c r="K144" s="2" t="str"/>
      <x:c r="L144" s="2" t="str">
        <x:v>P08.90.01</x:v>
      </x:c>
      <x:c r="M144" s="2" t="str"/>
      <x:c r="N144" s="2" t="str"/>
      <x:c r="O144" s="2" t="str">
        <x:f>IF(AND(OR(L144="",_xlfn.IFNA(VLOOKUP(L144,$A$6:$H$143,8,FALSE),"Missing")="Verified"),OR(M144="",_xlfn.IFNA(VLOOKUP(M144,$A$6:$H$143,8,FALSE),"Missing")="Verified"),OR(N144="",_xlfn.IFNA(VLOOKUP(N144,$A$6:$H$143,8,FALSE),"Missing")="Verified")),"Ready","Dependency open")</x:f>
        <x:v>Dependency open</x:v>
      </x:c>
      <x:c r="P144" s="8" t="str">
        <x:v>kg, kWh and liters never summed into invented eco-score</x:v>
      </x:c>
      <x:c r="Q144" s="8" t="str">
        <x:v>Metrics contract</x:v>
      </x:c>
      <x:c r="R144" s="9"/>
      <x:c r="S144" s="9" t="n">
        <x:v>6000</x:v>
      </x:c>
      <x:c r="T144" s="2" t="str">
        <x:v>J-E01 / J-W01</x:v>
      </x:c>
      <x:c r="U144" s="8" t="str">
        <x:v>Proposed work; implementation not authorized by this documentation request.</x:v>
      </x:c>
      <x:c r="V144" s="2" t="str">
        <x:v>Expansion</x:v>
      </x:c>
    </x:row>
    <x:row r="145" ht="60" customHeight="1">
      <x:c r="A145" s="2" t="str">
        <x:v>P10.03.02</x:v>
      </x:c>
      <x:c r="B145" s="2" t="str">
        <x:v>P10</x:v>
      </x:c>
      <x:c r="C145" s="8" t="str">
        <x:v>P10.03 Cross-domain accounting</x:v>
      </x:c>
      <x:c r="D145" s="8" t="str">
        <x:v>Review emissions factors and boundaries</x:v>
      </x:c>
      <x:c r="E145" s="8" t="str">
        <x:v>Measurement lead</x:v>
      </x:c>
      <x:c r="F145" s="8" t="str">
        <x:v>Not started</x:v>
      </x:c>
      <x:c r="G145" s="4" t="b">
        <x:v>0</x:v>
      </x:c>
      <x:c r="H145" s="2" t="str">
        <x:f>IF(COUNTIFS($A$6:$A$161,A145)&lt;&gt;1,"Duplicate ID",IF(O145&lt;&gt;"Ready","Dependency open",IF(G145=TRUE,IF(AND(F145="Complete",I145&lt;&gt;"",J145&lt;&gt;"",K145&lt;&gt;""),"Verified","Evidence required"),IF(F145="Complete","Check completion",IF(F145="Blocked","Blocked",IF(F145="In progress","In progress",IF(F145="In review","In review","Open")))))))</x:f>
        <x:v>Dependency open</x:v>
      </x:c>
      <x:c r="I145" s="2" t="str"/>
      <x:c r="J145" s="2" t="str"/>
      <x:c r="K145" s="2" t="str"/>
      <x:c r="L145" s="2" t="str">
        <x:v>P10.03.01</x:v>
      </x:c>
      <x:c r="M145" s="2" t="str"/>
      <x:c r="N145" s="2" t="str"/>
      <x:c r="O145" s="2" t="str">
        <x:f>IF(AND(OR(L145="",_xlfn.IFNA(VLOOKUP(L145,$A$6:$H$144,8,FALSE),"Missing")="Verified"),OR(M145="",_xlfn.IFNA(VLOOKUP(M145,$A$6:$H$144,8,FALSE),"Missing")="Verified"),OR(N145="",_xlfn.IFNA(VLOOKUP(N145,$A$6:$H$144,8,FALSE),"Missing")="Verified")),"Ready","Dependency open")</x:f>
        <x:v>Dependency open</x:v>
      </x:c>
      <x:c r="P145" s="8" t="str">
        <x:v>Food/location/time/disposal factors only if justified and versioned</x:v>
      </x:c>
      <x:c r="Q145" s="8" t="str">
        <x:v>Factor review</x:v>
      </x:c>
      <x:c r="R145" s="9"/>
      <x:c r="S145" s="9" t="n">
        <x:v>6000</x:v>
      </x:c>
      <x:c r="T145" s="2" t="str">
        <x:v>J-E01 / J-W01</x:v>
      </x:c>
      <x:c r="U145" s="8" t="str">
        <x:v>Proposed work; implementation not authorized by this documentation request.</x:v>
      </x:c>
      <x:c r="V145" s="2" t="str">
        <x:v>Expansion</x:v>
      </x:c>
    </x:row>
    <x:row r="146" ht="60" customHeight="1">
      <x:c r="A146" s="2" t="str">
        <x:v>P10.03.03</x:v>
      </x:c>
      <x:c r="B146" s="2" t="str">
        <x:v>P10</x:v>
      </x:c>
      <x:c r="C146" s="8" t="str">
        <x:v>P10.03 Cross-domain accounting</x:v>
      </x:c>
      <x:c r="D146" s="8" t="str">
        <x:v>Measure platform compute and transport burden</x:v>
      </x:c>
      <x:c r="E146" s="8" t="str">
        <x:v>Measurement lead</x:v>
      </x:c>
      <x:c r="F146" s="8" t="str">
        <x:v>Not started</x:v>
      </x:c>
      <x:c r="G146" s="4" t="b">
        <x:v>0</x:v>
      </x:c>
      <x:c r="H146" s="2" t="str">
        <x:f>IF(COUNTIFS($A$6:$A$161,A146)&lt;&gt;1,"Duplicate ID",IF(O146&lt;&gt;"Ready","Dependency open",IF(G146=TRUE,IF(AND(F146="Complete",I146&lt;&gt;"",J146&lt;&gt;"",K146&lt;&gt;""),"Verified","Evidence required"),IF(F146="Complete","Check completion",IF(F146="Blocked","Blocked",IF(F146="In progress","In progress",IF(F146="In review","In review","Open")))))))</x:f>
        <x:v>Dependency open</x:v>
      </x:c>
      <x:c r="I146" s="2" t="str"/>
      <x:c r="J146" s="2" t="str"/>
      <x:c r="K146" s="2" t="str"/>
      <x:c r="L146" s="2" t="str">
        <x:v>P10.03.02</x:v>
      </x:c>
      <x:c r="M146" s="2" t="str"/>
      <x:c r="N146" s="2" t="str"/>
      <x:c r="O146" s="2" t="str">
        <x:f>IF(AND(OR(L146="",_xlfn.IFNA(VLOOKUP(L146,$A$6:$H$145,8,FALSE),"Missing")="Verified"),OR(M146="",_xlfn.IFNA(VLOOKUP(M146,$A$6:$H$145,8,FALSE),"Missing")="Verified"),OR(N146="",_xlfn.IFNA(VLOOKUP(N146,$A$6:$H$145,8,FALSE),"Missing")="Verified")),"Ready","Dependency open")</x:f>
        <x:v>Dependency open</x:v>
      </x:c>
      <x:c r="P146" s="8" t="str">
        <x:v>Report available metrics and explicit unknowns; no net-zero claim</x:v>
      </x:c>
      <x:c r="Q146" s="8" t="str">
        <x:v>Burden register</x:v>
      </x:c>
      <x:c r="R146" s="9"/>
      <x:c r="S146" s="9" t="n">
        <x:v>6000</x:v>
      </x:c>
      <x:c r="T146" s="2" t="str">
        <x:v>J-E01 / J-W01</x:v>
      </x:c>
      <x:c r="U146" s="8" t="str">
        <x:v>Proposed work; implementation not authorized by this documentation request.</x:v>
      </x:c>
      <x:c r="V146" s="2" t="str">
        <x:v>Expansion</x:v>
      </x:c>
    </x:row>
    <x:row r="147" ht="60" customHeight="1">
      <x:c r="A147" s="2" t="str">
        <x:v>P10.03.04</x:v>
      </x:c>
      <x:c r="B147" s="2" t="str">
        <x:v>P10</x:v>
      </x:c>
      <x:c r="C147" s="8" t="str">
        <x:v>P10.03 Cross-domain accounting</x:v>
      </x:c>
      <x:c r="D147" s="8" t="str">
        <x:v>Authorize next domain only with evidence</x:v>
      </x:c>
      <x:c r="E147" s="8" t="str">
        <x:v>Measurement lead</x:v>
      </x:c>
      <x:c r="F147" s="8" t="str">
        <x:v>Not started</x:v>
      </x:c>
      <x:c r="G147" s="4" t="b">
        <x:v>0</x:v>
      </x:c>
      <x:c r="H147" s="2" t="str">
        <x:f>IF(COUNTIFS($A$6:$A$161,A147)&lt;&gt;1,"Duplicate ID",IF(O147&lt;&gt;"Ready","Dependency open",IF(G147=TRUE,IF(AND(F147="Complete",I147&lt;&gt;"",J147&lt;&gt;"",K147&lt;&gt;""),"Verified","Evidence required"),IF(F147="Complete","Check completion",IF(F147="Blocked","Blocked",IF(F147="In progress","In progress",IF(F147="In review","In review","Open")))))))</x:f>
        <x:v>Dependency open</x:v>
      </x:c>
      <x:c r="I147" s="2" t="str"/>
      <x:c r="J147" s="2" t="str"/>
      <x:c r="K147" s="2" t="str"/>
      <x:c r="L147" s="2" t="str">
        <x:v>P10.03.03</x:v>
      </x:c>
      <x:c r="M147" s="2" t="str"/>
      <x:c r="N147" s="2" t="str"/>
      <x:c r="O147" s="2" t="str">
        <x:f>IF(AND(OR(L147="",_xlfn.IFNA(VLOOKUP(L147,$A$6:$H$146,8,FALSE),"Missing")="Verified"),OR(M147="",_xlfn.IFNA(VLOOKUP(M147,$A$6:$H$146,8,FALSE),"Missing")="Verified"),OR(N147="",_xlfn.IFNA(VLOOKUP(N147,$A$6:$H$146,8,FALSE),"Missing")="Verified")),"Ready","Dependency open")</x:f>
        <x:v>Dependency open</x:v>
      </x:c>
      <x:c r="P147" s="8" t="str">
        <x:v>Actor access, measurable effect and viable operations required</x:v>
      </x:c>
      <x:c r="Q147" s="8" t="str">
        <x:v>Domain expansion gate</x:v>
      </x:c>
      <x:c r="R147" s="9"/>
      <x:c r="S147" s="9" t="n">
        <x:v>6000</x:v>
      </x:c>
      <x:c r="T147" s="2" t="str">
        <x:v>J-E01 / J-W01</x:v>
      </x:c>
      <x:c r="U147" s="8" t="str">
        <x:v>Proposed work; implementation not authorized by this documentation request.</x:v>
      </x:c>
      <x:c r="V147" s="2" t="str">
        <x:v>Expansion</x:v>
      </x:c>
    </x:row>
    <x:row r="148" ht="60" customHeight="1">
      <x:c r="A148" s="2" t="str">
        <x:v>P10.90.01</x:v>
      </x:c>
      <x:c r="B148" s="2" t="str">
        <x:v>P10</x:v>
      </x:c>
      <x:c r="C148" s="8" t="str">
        <x:v>P10.90 Phase gate</x:v>
      </x:c>
      <x:c r="D148" s="8" t="str">
        <x:v>Review and accept energy and water modules discovery</x:v>
      </x:c>
      <x:c r="E148" s="8" t="str">
        <x:v>Product owner + independent reviewer</x:v>
      </x:c>
      <x:c r="F148" s="8" t="str">
        <x:v>Not started</x:v>
      </x:c>
      <x:c r="G148" s="4" t="b">
        <x:v>0</x:v>
      </x:c>
      <x:c r="H148" s="2" t="str">
        <x:f>IF(COUNTIFS($A$6:$A$161,A148)&lt;&gt;1,"Duplicate ID",IF(O148&lt;&gt;"Ready","Dependency open",IF(G148=TRUE,IF(AND(F148="Complete",I148&lt;&gt;"",J148&lt;&gt;"",K148&lt;&gt;""),"Verified","Evidence required"),IF(F148="Complete","Check completion",IF(F148="Blocked","Blocked",IF(F148="In progress","In progress",IF(F148="In review","In review","Open")))))))</x:f>
        <x:v>Dependency open</x:v>
      </x:c>
      <x:c r="I148" s="2" t="str"/>
      <x:c r="J148" s="2" t="str"/>
      <x:c r="K148" s="2" t="str"/>
      <x:c r="L148" s="2" t="str">
        <x:v>P10.01.04</x:v>
      </x:c>
      <x:c r="M148" s="2" t="str">
        <x:v>P10.02.04</x:v>
      </x:c>
      <x:c r="N148" s="2" t="str">
        <x:v>P10.03.04</x:v>
      </x:c>
      <x:c r="O148" s="2" t="str">
        <x:f>IF(AND(OR(L148="",_xlfn.IFNA(VLOOKUP(L148,$A$6:$H$147,8,FALSE),"Missing")="Verified"),OR(M148="",_xlfn.IFNA(VLOOKUP(M148,$A$6:$H$147,8,FALSE),"Missing")="Verified"),OR(N148="",_xlfn.IFNA(VLOOKUP(N148,$A$6:$H$147,8,FALSE),"Missing")="Verified")),"Ready","Dependency open")</x:f>
        <x:v>Dependency open</x:v>
      </x:c>
      <x:c r="P148" s="8" t="str">
        <x:v>All prerequisites verified; critical risks closed or explicitly rejected for rollout; human records go/revise/stop decision.</x:v>
      </x:c>
      <x:c r="Q148" s="8" t="str">
        <x:v>Phase gate record with reviewer, evidence links, residual risks and next scope</x:v>
      </x:c>
      <x:c r="R148" s="9"/>
      <x:c r="S148" s="9" t="n">
        <x:v>4000</x:v>
      </x:c>
      <x:c r="T148" s="2" t="str">
        <x:v>P10-GATE</x:v>
      </x:c>
      <x:c r="U148" s="8" t="str">
        <x:v>Unchecked until phase evidence is reviewed. A written plan is not implementation evidence.</x:v>
      </x:c>
      <x:c r="V148" s="2" t="str">
        <x:v>Expansion</x:v>
      </x:c>
    </x:row>
    <x:row r="149" ht="60" customHeight="1">
      <x:c r="A149" s="2" t="str">
        <x:v>P11.01.01</x:v>
      </x:c>
      <x:c r="B149" s="2" t="str">
        <x:v>P11</x:v>
      </x:c>
      <x:c r="C149" s="8" t="str">
        <x:v>P11.01 Federation and interoperability</x:v>
      </x:c>
      <x:c r="D149" s="8" t="str">
        <x:v>Define interoperable partner capability registry</x:v>
      </x:c>
      <x:c r="E149" s="8" t="str">
        <x:v>Technical lead</x:v>
      </x:c>
      <x:c r="F149" s="8" t="str">
        <x:v>Not started</x:v>
      </x:c>
      <x:c r="G149" s="4" t="b">
        <x:v>0</x:v>
      </x:c>
      <x:c r="H149" s="2" t="str">
        <x:f>IF(COUNTIFS($A$6:$A$161,A149)&lt;&gt;1,"Duplicate ID",IF(O149&lt;&gt;"Ready","Dependency open",IF(G149=TRUE,IF(AND(F149="Complete",I149&lt;&gt;"",J149&lt;&gt;"",K149&lt;&gt;""),"Verified","Evidence required"),IF(F149="Complete","Check completion",IF(F149="Blocked","Blocked",IF(F149="In progress","In progress",IF(F149="In review","In review","Open")))))))</x:f>
        <x:v>Dependency open</x:v>
      </x:c>
      <x:c r="I149" s="2" t="str"/>
      <x:c r="J149" s="2" t="str"/>
      <x:c r="K149" s="2" t="str"/>
      <x:c r="L149" s="2" t="str">
        <x:v>P08.90.01</x:v>
      </x:c>
      <x:c r="M149" s="2" t="str"/>
      <x:c r="N149" s="2" t="str"/>
      <x:c r="O149" s="2" t="str">
        <x:f>IF(AND(OR(L149="",_xlfn.IFNA(VLOOKUP(L149,$A$6:$H$148,8,FALSE),"Missing")="Verified"),OR(M149="",_xlfn.IFNA(VLOOKUP(M149,$A$6:$H$148,8,FALSE),"Missing")="Verified"),OR(N149="",_xlfn.IFNA(VLOOKUP(N149,$A$6:$H$148,8,FALSE),"Missing")="Verified")),"Ready","Dependency open")</x:f>
        <x:v>Dependency open</x:v>
      </x:c>
      <x:c r="P149" s="8" t="str">
        <x:v>Permissions and availability separate from self-asserted badges</x:v>
      </x:c>
      <x:c r="Q149" s="8" t="str">
        <x:v>Partner API contract</x:v>
      </x:c>
      <x:c r="R149" s="9"/>
      <x:c r="S149" s="9" t="n">
        <x:v>6000</x:v>
      </x:c>
      <x:c r="T149" s="2" t="str">
        <x:v>J-T01 / REQ-SCALE-01</x:v>
      </x:c>
      <x:c r="U149" s="8" t="str">
        <x:v>Proposed work; implementation not authorized by this documentation request.</x:v>
      </x:c>
      <x:c r="V149" s="2" t="str">
        <x:v>Scale</x:v>
      </x:c>
    </x:row>
    <x:row r="150" ht="60" customHeight="1">
      <x:c r="A150" s="2" t="str">
        <x:v>P11.01.02</x:v>
      </x:c>
      <x:c r="B150" s="2" t="str">
        <x:v>P11</x:v>
      </x:c>
      <x:c r="C150" s="8" t="str">
        <x:v>P11.01 Federation and interoperability</x:v>
      </x:c>
      <x:c r="D150" s="8" t="str">
        <x:v>Version adapters and data sharing agreements</x:v>
      </x:c>
      <x:c r="E150" s="8" t="str">
        <x:v>Technical lead</x:v>
      </x:c>
      <x:c r="F150" s="8" t="str">
        <x:v>Not started</x:v>
      </x:c>
      <x:c r="G150" s="4" t="b">
        <x:v>0</x:v>
      </x:c>
      <x:c r="H150" s="2" t="str">
        <x:f>IF(COUNTIFS($A$6:$A$161,A150)&lt;&gt;1,"Duplicate ID",IF(O150&lt;&gt;"Ready","Dependency open",IF(G150=TRUE,IF(AND(F150="Complete",I150&lt;&gt;"",J150&lt;&gt;"",K150&lt;&gt;""),"Verified","Evidence required"),IF(F150="Complete","Check completion",IF(F150="Blocked","Blocked",IF(F150="In progress","In progress",IF(F150="In review","In review","Open")))))))</x:f>
        <x:v>Dependency open</x:v>
      </x:c>
      <x:c r="I150" s="2" t="str"/>
      <x:c r="J150" s="2" t="str"/>
      <x:c r="K150" s="2" t="str"/>
      <x:c r="L150" s="2" t="str">
        <x:v>P11.01.01</x:v>
      </x:c>
      <x:c r="M150" s="2" t="str"/>
      <x:c r="N150" s="2" t="str"/>
      <x:c r="O150" s="2" t="str">
        <x:f>IF(AND(OR(L150="",_xlfn.IFNA(VLOOKUP(L150,$A$6:$H$149,8,FALSE),"Missing")="Verified"),OR(M150="",_xlfn.IFNA(VLOOKUP(M150,$A$6:$H$149,8,FALSE),"Missing")="Verified"),OR(N150="",_xlfn.IFNA(VLOOKUP(N150,$A$6:$H$149,8,FALSE),"Missing")="Verified")),"Ready","Dependency open")</x:f>
        <x:v>Dependency open</x:v>
      </x:c>
      <x:c r="P150" s="8" t="str">
        <x:v>Schema compatibility, consent and revocation behaviors tested</x:v>
      </x:c>
      <x:c r="Q150" s="8" t="str">
        <x:v>Adapter conformance report</x:v>
      </x:c>
      <x:c r="R150" s="9"/>
      <x:c r="S150" s="9" t="n">
        <x:v>6000</x:v>
      </x:c>
      <x:c r="T150" s="2" t="str">
        <x:v>J-T01 / REQ-SCALE-01</x:v>
      </x:c>
      <x:c r="U150" s="8" t="str">
        <x:v>Proposed work; implementation not authorized by this documentation request.</x:v>
      </x:c>
      <x:c r="V150" s="2" t="str">
        <x:v>Scale</x:v>
      </x:c>
    </x:row>
    <x:row r="151" ht="60" customHeight="1">
      <x:c r="A151" s="2" t="str">
        <x:v>P11.01.03</x:v>
      </x:c>
      <x:c r="B151" s="2" t="str">
        <x:v>P11</x:v>
      </x:c>
      <x:c r="C151" s="8" t="str">
        <x:v>P11.01 Federation and interoperability</x:v>
      </x:c>
      <x:c r="D151" s="8" t="str">
        <x:v>Add durable notifications and reconciliation</x:v>
      </x:c>
      <x:c r="E151" s="8" t="str">
        <x:v>Technical lead</x:v>
      </x:c>
      <x:c r="F151" s="8" t="str">
        <x:v>Not started</x:v>
      </x:c>
      <x:c r="G151" s="4" t="b">
        <x:v>0</x:v>
      </x:c>
      <x:c r="H151" s="2" t="str">
        <x:f>IF(COUNTIFS($A$6:$A$161,A151)&lt;&gt;1,"Duplicate ID",IF(O151&lt;&gt;"Ready","Dependency open",IF(G151=TRUE,IF(AND(F151="Complete",I151&lt;&gt;"",J151&lt;&gt;"",K151&lt;&gt;""),"Verified","Evidence required"),IF(F151="Complete","Check completion",IF(F151="Blocked","Blocked",IF(F151="In progress","In progress",IF(F151="In review","In review","Open")))))))</x:f>
        <x:v>Dependency open</x:v>
      </x:c>
      <x:c r="I151" s="2" t="str"/>
      <x:c r="J151" s="2" t="str"/>
      <x:c r="K151" s="2" t="str"/>
      <x:c r="L151" s="2" t="str">
        <x:v>P11.01.02</x:v>
      </x:c>
      <x:c r="M151" s="2" t="str"/>
      <x:c r="N151" s="2" t="str"/>
      <x:c r="O151" s="2" t="str">
        <x:f>IF(AND(OR(L151="",_xlfn.IFNA(VLOOKUP(L151,$A$6:$H$150,8,FALSE),"Missing")="Verified"),OR(M151="",_xlfn.IFNA(VLOOKUP(M151,$A$6:$H$150,8,FALSE),"Missing")="Verified"),OR(N151="",_xlfn.IFNA(VLOOKUP(N151,$A$6:$H$150,8,FALSE),"Missing")="Verified")),"Ready","Dependency open")</x:f>
        <x:v>Dependency open</x:v>
      </x:c>
      <x:c r="P151" s="8" t="str">
        <x:v>Outbox, dedupe, retries and delivery status explicit</x:v>
      </x:c>
      <x:c r="Q151" s="8" t="str">
        <x:v>Delivery/replay evidence</x:v>
      </x:c>
      <x:c r="R151" s="9"/>
      <x:c r="S151" s="9" t="n">
        <x:v>6000</x:v>
      </x:c>
      <x:c r="T151" s="2" t="str">
        <x:v>J-T01 / REQ-SCALE-01</x:v>
      </x:c>
      <x:c r="U151" s="8" t="str">
        <x:v>Proposed work; implementation not authorized by this documentation request.</x:v>
      </x:c>
      <x:c r="V151" s="2" t="str">
        <x:v>Scale</x:v>
      </x:c>
    </x:row>
    <x:row r="152" ht="60" customHeight="1">
      <x:c r="A152" s="2" t="str">
        <x:v>P11.01.04</x:v>
      </x:c>
      <x:c r="B152" s="2" t="str">
        <x:v>P11</x:v>
      </x:c>
      <x:c r="C152" s="8" t="str">
        <x:v>P11.01 Federation and interoperability</x:v>
      </x:c>
      <x:c r="D152" s="8" t="str">
        <x:v>Verify federation without tenant leakage</x:v>
      </x:c>
      <x:c r="E152" s="8" t="str">
        <x:v>Technical lead</x:v>
      </x:c>
      <x:c r="F152" s="8" t="str">
        <x:v>Not started</x:v>
      </x:c>
      <x:c r="G152" s="4" t="b">
        <x:v>0</x:v>
      </x:c>
      <x:c r="H152" s="2" t="str">
        <x:f>IF(COUNTIFS($A$6:$A$161,A152)&lt;&gt;1,"Duplicate ID",IF(O152&lt;&gt;"Ready","Dependency open",IF(G152=TRUE,IF(AND(F152="Complete",I152&lt;&gt;"",J152&lt;&gt;"",K152&lt;&gt;""),"Verified","Evidence required"),IF(F152="Complete","Check completion",IF(F152="Blocked","Blocked",IF(F152="In progress","In progress",IF(F152="In review","In review","Open")))))))</x:f>
        <x:v>Dependency open</x:v>
      </x:c>
      <x:c r="I152" s="2" t="str"/>
      <x:c r="J152" s="2" t="str"/>
      <x:c r="K152" s="2" t="str"/>
      <x:c r="L152" s="2" t="str">
        <x:v>P11.01.03</x:v>
      </x:c>
      <x:c r="M152" s="2" t="str"/>
      <x:c r="N152" s="2" t="str"/>
      <x:c r="O152" s="2" t="str">
        <x:f>IF(AND(OR(L152="",_xlfn.IFNA(VLOOKUP(L152,$A$6:$H$151,8,FALSE),"Missing")="Verified"),OR(M152="",_xlfn.IFNA(VLOOKUP(M152,$A$6:$H$151,8,FALSE),"Missing")="Verified"),OR(N152="",_xlfn.IFNA(VLOOKUP(N152,$A$6:$H$151,8,FALSE),"Missing")="Verified")),"Ready","Dependency open")</x:f>
        <x:v>Dependency open</x:v>
      </x:c>
      <x:c r="P152" s="8" t="str">
        <x:v>Per-offer grants, scoped projections and revocation tested</x:v>
      </x:c>
      <x:c r="Q152" s="8" t="str">
        <x:v>Cross-organization security report</x:v>
      </x:c>
      <x:c r="R152" s="9"/>
      <x:c r="S152" s="9" t="n">
        <x:v>6000</x:v>
      </x:c>
      <x:c r="T152" s="2" t="str">
        <x:v>J-T01 / REQ-SCALE-01</x:v>
      </x:c>
      <x:c r="U152" s="8" t="str">
        <x:v>Proposed work; implementation not authorized by this documentation request.</x:v>
      </x:c>
      <x:c r="V152" s="2" t="str">
        <x:v>Scale</x:v>
      </x:c>
    </x:row>
    <x:row r="153" ht="60" customHeight="1">
      <x:c r="A153" s="2" t="str">
        <x:v>P11.02.01</x:v>
      </x:c>
      <x:c r="B153" s="2" t="str">
        <x:v>P11</x:v>
      </x:c>
      <x:c r="C153" s="8" t="str">
        <x:v>P11.02 Reliability and security</x:v>
      </x:c>
      <x:c r="D153" s="8" t="str">
        <x:v>Measure load then set SLOs and capacity</x:v>
      </x:c>
      <x:c r="E153" s="8" t="str">
        <x:v>Platform/security lead</x:v>
      </x:c>
      <x:c r="F153" s="8" t="str">
        <x:v>Not started</x:v>
      </x:c>
      <x:c r="G153" s="4" t="b">
        <x:v>0</x:v>
      </x:c>
      <x:c r="H153" s="2" t="str">
        <x:f>IF(COUNTIFS($A$6:$A$161,A153)&lt;&gt;1,"Duplicate ID",IF(O153&lt;&gt;"Ready","Dependency open",IF(G153=TRUE,IF(AND(F153="Complete",I153&lt;&gt;"",J153&lt;&gt;"",K153&lt;&gt;""),"Verified","Evidence required"),IF(F153="Complete","Check completion",IF(F153="Blocked","Blocked",IF(F153="In progress","In progress",IF(F153="In review","In review","Open")))))))</x:f>
        <x:v>Dependency open</x:v>
      </x:c>
      <x:c r="I153" s="2" t="str"/>
      <x:c r="J153" s="2" t="str"/>
      <x:c r="K153" s="2" t="str"/>
      <x:c r="L153" s="2" t="str">
        <x:v>P08.90.01</x:v>
      </x:c>
      <x:c r="M153" s="2" t="str"/>
      <x:c r="N153" s="2" t="str"/>
      <x:c r="O153" s="2" t="str">
        <x:f>IF(AND(OR(L153="",_xlfn.IFNA(VLOOKUP(L153,$A$6:$H$152,8,FALSE),"Missing")="Verified"),OR(M153="",_xlfn.IFNA(VLOOKUP(M153,$A$6:$H$152,8,FALSE),"Missing")="Verified"),OR(N153="",_xlfn.IFNA(VLOOKUP(N153,$A$6:$H$152,8,FALSE),"Missing")="Verified")),"Ready","Dependency open")</x:f>
        <x:v>Dependency open</x:v>
      </x:c>
      <x:c r="P153" s="8" t="str">
        <x:v>P95/availability/error budgets grounded in pilot load</x:v>
      </x:c>
      <x:c r="Q153" s="8" t="str">
        <x:v>Capacity/SLO report</x:v>
      </x:c>
      <x:c r="R153" s="9"/>
      <x:c r="S153" s="9" t="n">
        <x:v>6000</x:v>
      </x:c>
      <x:c r="T153" s="2" t="str">
        <x:v>J-T01 / REQ-SCALE-01</x:v>
      </x:c>
      <x:c r="U153" s="8" t="str">
        <x:v>Proposed work; implementation not authorized by this documentation request.</x:v>
      </x:c>
      <x:c r="V153" s="2" t="str">
        <x:v>Scale</x:v>
      </x:c>
    </x:row>
    <x:row r="154" ht="60" customHeight="1">
      <x:c r="A154" s="2" t="str">
        <x:v>P11.02.02</x:v>
      </x:c>
      <x:c r="B154" s="2" t="str">
        <x:v>P11</x:v>
      </x:c>
      <x:c r="C154" s="8" t="str">
        <x:v>P11.02 Reliability and security</x:v>
      </x:c>
      <x:c r="D154" s="8" t="str">
        <x:v>Exercise backups restore and disaster recovery</x:v>
      </x:c>
      <x:c r="E154" s="8" t="str">
        <x:v>Platform/security lead</x:v>
      </x:c>
      <x:c r="F154" s="8" t="str">
        <x:v>Not started</x:v>
      </x:c>
      <x:c r="G154" s="4" t="b">
        <x:v>0</x:v>
      </x:c>
      <x:c r="H154" s="2" t="str">
        <x:f>IF(COUNTIFS($A$6:$A$161,A154)&lt;&gt;1,"Duplicate ID",IF(O154&lt;&gt;"Ready","Dependency open",IF(G154=TRUE,IF(AND(F154="Complete",I154&lt;&gt;"",J154&lt;&gt;"",K154&lt;&gt;""),"Verified","Evidence required"),IF(F154="Complete","Check completion",IF(F154="Blocked","Blocked",IF(F154="In progress","In progress",IF(F154="In review","In review","Open")))))))</x:f>
        <x:v>Dependency open</x:v>
      </x:c>
      <x:c r="I154" s="2" t="str"/>
      <x:c r="J154" s="2" t="str"/>
      <x:c r="K154" s="2" t="str"/>
      <x:c r="L154" s="2" t="str">
        <x:v>P11.02.01</x:v>
      </x:c>
      <x:c r="M154" s="2" t="str"/>
      <x:c r="N154" s="2" t="str"/>
      <x:c r="O154" s="2" t="str">
        <x:f>IF(AND(OR(L154="",_xlfn.IFNA(VLOOKUP(L154,$A$6:$H$153,8,FALSE),"Missing")="Verified"),OR(M154="",_xlfn.IFNA(VLOOKUP(M154,$A$6:$H$153,8,FALSE),"Missing")="Verified"),OR(N154="",_xlfn.IFNA(VLOOKUP(N154,$A$6:$H$153,8,FALSE),"Missing")="Verified")),"Ready","Dependency open")</x:f>
        <x:v>Dependency open</x:v>
      </x:c>
      <x:c r="P154" s="8" t="str">
        <x:v>Recovery points/times measured with owned runbooks</x:v>
      </x:c>
      <x:c r="Q154" s="8" t="str">
        <x:v>Restore drill</x:v>
      </x:c>
      <x:c r="R154" s="9"/>
      <x:c r="S154" s="9" t="n">
        <x:v>6000</x:v>
      </x:c>
      <x:c r="T154" s="2" t="str">
        <x:v>J-T01 / REQ-SCALE-01</x:v>
      </x:c>
      <x:c r="U154" s="8" t="str">
        <x:v>Proposed work; implementation not authorized by this documentation request.</x:v>
      </x:c>
      <x:c r="V154" s="2" t="str">
        <x:v>Scale</x:v>
      </x:c>
    </x:row>
    <x:row r="155" ht="60" customHeight="1">
      <x:c r="A155" s="2" t="str">
        <x:v>P11.02.03</x:v>
      </x:c>
      <x:c r="B155" s="2" t="str">
        <x:v>P11</x:v>
      </x:c>
      <x:c r="C155" s="8" t="str">
        <x:v>P11.02 Reliability and security</x:v>
      </x:c>
      <x:c r="D155" s="8" t="str">
        <x:v>Perform abuse and data protection review</x:v>
      </x:c>
      <x:c r="E155" s="8" t="str">
        <x:v>Platform/security lead</x:v>
      </x:c>
      <x:c r="F155" s="8" t="str">
        <x:v>Not started</x:v>
      </x:c>
      <x:c r="G155" s="4" t="b">
        <x:v>0</x:v>
      </x:c>
      <x:c r="H155" s="2" t="str">
        <x:f>IF(COUNTIFS($A$6:$A$161,A155)&lt;&gt;1,"Duplicate ID",IF(O155&lt;&gt;"Ready","Dependency open",IF(G155=TRUE,IF(AND(F155="Complete",I155&lt;&gt;"",J155&lt;&gt;"",K155&lt;&gt;""),"Verified","Evidence required"),IF(F155="Complete","Check completion",IF(F155="Blocked","Blocked",IF(F155="In progress","In progress",IF(F155="In review","In review","Open")))))))</x:f>
        <x:v>Dependency open</x:v>
      </x:c>
      <x:c r="I155" s="2" t="str"/>
      <x:c r="J155" s="2" t="str"/>
      <x:c r="K155" s="2" t="str"/>
      <x:c r="L155" s="2" t="str">
        <x:v>P11.02.02</x:v>
      </x:c>
      <x:c r="M155" s="2" t="str"/>
      <x:c r="N155" s="2" t="str"/>
      <x:c r="O155" s="2" t="str">
        <x:f>IF(AND(OR(L155="",_xlfn.IFNA(VLOOKUP(L155,$A$6:$H$154,8,FALSE),"Missing")="Verified"),OR(M155="",_xlfn.IFNA(VLOOKUP(M155,$A$6:$H$154,8,FALSE),"Missing")="Verified"),OR(N155="",_xlfn.IFNA(VLOOKUP(N155,$A$6:$H$154,8,FALSE),"Missing")="Verified")),"Ready","Dependency open")</x:f>
        <x:v>Dependency open</x:v>
      </x:c>
      <x:c r="P155" s="8" t="str">
        <x:v>Rate limits, malicious uploads, privilege abuse and retention audited</x:v>
      </x:c>
      <x:c r="Q155" s="8" t="str">
        <x:v>Security findings disposition</x:v>
      </x:c>
      <x:c r="R155" s="9"/>
      <x:c r="S155" s="9" t="n">
        <x:v>6000</x:v>
      </x:c>
      <x:c r="T155" s="2" t="str">
        <x:v>J-T01 / REQ-SCALE-01</x:v>
      </x:c>
      <x:c r="U155" s="8" t="str">
        <x:v>Proposed work; implementation not authorized by this documentation request.</x:v>
      </x:c>
      <x:c r="V155" s="2" t="str">
        <x:v>Scale</x:v>
      </x:c>
    </x:row>
    <x:row r="156" ht="60" customHeight="1">
      <x:c r="A156" s="2" t="str">
        <x:v>P11.02.04</x:v>
      </x:c>
      <x:c r="B156" s="2" t="str">
        <x:v>P11</x:v>
      </x:c>
      <x:c r="C156" s="8" t="str">
        <x:v>P11.02 Reliability and security</x:v>
      </x:c>
      <x:c r="D156" s="8" t="str">
        <x:v>Reconcile spend with outcomes and incidents</x:v>
      </x:c>
      <x:c r="E156" s="8" t="str">
        <x:v>Platform/security lead</x:v>
      </x:c>
      <x:c r="F156" s="8" t="str">
        <x:v>Not started</x:v>
      </x:c>
      <x:c r="G156" s="4" t="b">
        <x:v>0</x:v>
      </x:c>
      <x:c r="H156" s="2" t="str">
        <x:f>IF(COUNTIFS($A$6:$A$161,A156)&lt;&gt;1,"Duplicate ID",IF(O156&lt;&gt;"Ready","Dependency open",IF(G156=TRUE,IF(AND(F156="Complete",I156&lt;&gt;"",J156&lt;&gt;"",K156&lt;&gt;""),"Verified","Evidence required"),IF(F156="Complete","Check completion",IF(F156="Blocked","Blocked",IF(F156="In progress","In progress",IF(F156="In review","In review","Open")))))))</x:f>
        <x:v>Dependency open</x:v>
      </x:c>
      <x:c r="I156" s="2" t="str"/>
      <x:c r="J156" s="2" t="str"/>
      <x:c r="K156" s="2" t="str"/>
      <x:c r="L156" s="2" t="str">
        <x:v>P11.02.03</x:v>
      </x:c>
      <x:c r="M156" s="2" t="str"/>
      <x:c r="N156" s="2" t="str"/>
      <x:c r="O156" s="2" t="str">
        <x:f>IF(AND(OR(L156="",_xlfn.IFNA(VLOOKUP(L156,$A$6:$H$155,8,FALSE),"Missing")="Verified"),OR(M156="",_xlfn.IFNA(VLOOKUP(M156,$A$6:$H$155,8,FALSE),"Missing")="Verified"),OR(N156="",_xlfn.IFNA(VLOOKUP(N156,$A$6:$H$155,8,FALSE),"Missing")="Verified")),"Ready","Dependency open")</x:f>
        <x:v>Dependency open</x:v>
      </x:c>
      <x:c r="P156" s="8" t="str">
        <x:v>Per-tenant cost limits and operational owners established</x:v>
      </x:c>
      <x:c r="Q156" s="8" t="str">
        <x:v>Operations dashboard evidence</x:v>
      </x:c>
      <x:c r="R156" s="9"/>
      <x:c r="S156" s="9" t="n">
        <x:v>6000</x:v>
      </x:c>
      <x:c r="T156" s="2" t="str">
        <x:v>J-T01 / REQ-SCALE-01</x:v>
      </x:c>
      <x:c r="U156" s="8" t="str">
        <x:v>Proposed work; implementation not authorized by this documentation request.</x:v>
      </x:c>
      <x:c r="V156" s="2" t="str">
        <x:v>Scale</x:v>
      </x:c>
    </x:row>
    <x:row r="157" ht="60" customHeight="1">
      <x:c r="A157" s="2" t="str">
        <x:v>P11.03.01</x:v>
      </x:c>
      <x:c r="B157" s="2" t="str">
        <x:v>P11</x:v>
      </x:c>
      <x:c r="C157" s="8" t="str">
        <x:v>P11.03 Business rollout</x:v>
      </x:c>
      <x:c r="D157" s="8" t="str">
        <x:v>Validate network density in one geography</x:v>
      </x:c>
      <x:c r="E157" s="8" t="str">
        <x:v>Product/operations lead</x:v>
      </x:c>
      <x:c r="F157" s="8" t="str">
        <x:v>Not started</x:v>
      </x:c>
      <x:c r="G157" s="4" t="b">
        <x:v>0</x:v>
      </x:c>
      <x:c r="H157" s="2" t="str">
        <x:f>IF(COUNTIFS($A$6:$A$161,A157)&lt;&gt;1,"Duplicate ID",IF(O157&lt;&gt;"Ready","Dependency open",IF(G157=TRUE,IF(AND(F157="Complete",I157&lt;&gt;"",J157&lt;&gt;"",K157&lt;&gt;""),"Verified","Evidence required"),IF(F157="Complete","Check completion",IF(F157="Blocked","Blocked",IF(F157="In progress","In progress",IF(F157="In review","In review","Open")))))))</x:f>
        <x:v>Dependency open</x:v>
      </x:c>
      <x:c r="I157" s="2" t="str"/>
      <x:c r="J157" s="2" t="str"/>
      <x:c r="K157" s="2" t="str"/>
      <x:c r="L157" s="2" t="str">
        <x:v>P08.90.01</x:v>
      </x:c>
      <x:c r="M157" s="2" t="str"/>
      <x:c r="N157" s="2" t="str"/>
      <x:c r="O157" s="2" t="str">
        <x:f>IF(AND(OR(L157="",_xlfn.IFNA(VLOOKUP(L157,$A$6:$H$156,8,FALSE),"Missing")="Verified"),OR(M157="",_xlfn.IFNA(VLOOKUP(M157,$A$6:$H$156,8,FALSE),"Missing")="Verified"),OR(N157="",_xlfn.IFNA(VLOOKUP(N157,$A$6:$H$156,8,FALSE),"Missing")="Verified")),"Ready","Dependency open")</x:f>
        <x:v>Dependency open</x:v>
      </x:c>
      <x:c r="P157" s="8" t="str">
        <x:v>Match availability, acceptance and completion measured</x:v>
      </x:c>
      <x:c r="Q157" s="8" t="str">
        <x:v>Network cohort analysis</x:v>
      </x:c>
      <x:c r="R157" s="9"/>
      <x:c r="S157" s="9" t="n">
        <x:v>6000</x:v>
      </x:c>
      <x:c r="T157" s="2" t="str">
        <x:v>J-T01 / REQ-SCALE-01</x:v>
      </x:c>
      <x:c r="U157" s="8" t="str">
        <x:v>Proposed work; implementation not authorized by this documentation request.</x:v>
      </x:c>
      <x:c r="V157" s="2" t="str">
        <x:v>Scale</x:v>
      </x:c>
    </x:row>
    <x:row r="158" ht="60" customHeight="1">
      <x:c r="A158" s="2" t="str">
        <x:v>P11.03.02</x:v>
      </x:c>
      <x:c r="B158" s="2" t="str">
        <x:v>P11</x:v>
      </x:c>
      <x:c r="C158" s="8" t="str">
        <x:v>P11.03 Business rollout</x:v>
      </x:c>
      <x:c r="D158" s="8" t="str">
        <x:v>Pilot contracts pricing and support SLA</x:v>
      </x:c>
      <x:c r="E158" s="8" t="str">
        <x:v>Product/operations lead</x:v>
      </x:c>
      <x:c r="F158" s="8" t="str">
        <x:v>Not started</x:v>
      </x:c>
      <x:c r="G158" s="4" t="b">
        <x:v>0</x:v>
      </x:c>
      <x:c r="H158" s="2" t="str">
        <x:f>IF(COUNTIFS($A$6:$A$161,A158)&lt;&gt;1,"Duplicate ID",IF(O158&lt;&gt;"Ready","Dependency open",IF(G158=TRUE,IF(AND(F158="Complete",I158&lt;&gt;"",J158&lt;&gt;"",K158&lt;&gt;""),"Verified","Evidence required"),IF(F158="Complete","Check completion",IF(F158="Blocked","Blocked",IF(F158="In progress","In progress",IF(F158="In review","In review","Open")))))))</x:f>
        <x:v>Dependency open</x:v>
      </x:c>
      <x:c r="I158" s="2" t="str"/>
      <x:c r="J158" s="2" t="str"/>
      <x:c r="K158" s="2" t="str"/>
      <x:c r="L158" s="2" t="str">
        <x:v>P11.03.01</x:v>
      </x:c>
      <x:c r="M158" s="2" t="str"/>
      <x:c r="N158" s="2" t="str"/>
      <x:c r="O158" s="2" t="str">
        <x:f>IF(AND(OR(L158="",_xlfn.IFNA(VLOOKUP(L158,$A$6:$H$157,8,FALSE),"Missing")="Verified"),OR(M158="",_xlfn.IFNA(VLOOKUP(M158,$A$6:$H$157,8,FALSE),"Missing")="Verified"),OR(N158="",_xlfn.IFNA(VLOOKUP(N158,$A$6:$H$157,8,FALSE),"Missing")="Verified")),"Ready","Dependency open")</x:f>
        <x:v>Dependency open</x:v>
      </x:c>
      <x:c r="P158" s="8" t="str">
        <x:v>Operator incentives and liability terms approved</x:v>
      </x:c>
      <x:c r="Q158" s="8" t="str">
        <x:v>Commercial pilot agreement</x:v>
      </x:c>
      <x:c r="R158" s="9"/>
      <x:c r="S158" s="9" t="n">
        <x:v>6000</x:v>
      </x:c>
      <x:c r="T158" s="2" t="str">
        <x:v>J-T01 / REQ-SCALE-01</x:v>
      </x:c>
      <x:c r="U158" s="8" t="str">
        <x:v>Proposed work; implementation not authorized by this documentation request.</x:v>
      </x:c>
      <x:c r="V158" s="2" t="str">
        <x:v>Scale</x:v>
      </x:c>
    </x:row>
    <x:row r="159" ht="60" customHeight="1">
      <x:c r="A159" s="2" t="str">
        <x:v>P11.03.03</x:v>
      </x:c>
      <x:c r="B159" s="2" t="str">
        <x:v>P11</x:v>
      </x:c>
      <x:c r="C159" s="8" t="str">
        <x:v>P11.03 Business rollout</x:v>
      </x:c>
      <x:c r="D159" s="8" t="str">
        <x:v>Gate incentives against fraud and coercion</x:v>
      </x:c>
      <x:c r="E159" s="8" t="str">
        <x:v>Product/operations lead</x:v>
      </x:c>
      <x:c r="F159" s="8" t="str">
        <x:v>Not started</x:v>
      </x:c>
      <x:c r="G159" s="4" t="b">
        <x:v>0</x:v>
      </x:c>
      <x:c r="H159" s="2" t="str">
        <x:f>IF(COUNTIFS($A$6:$A$161,A159)&lt;&gt;1,"Duplicate ID",IF(O159&lt;&gt;"Ready","Dependency open",IF(G159=TRUE,IF(AND(F159="Complete",I159&lt;&gt;"",J159&lt;&gt;"",K159&lt;&gt;""),"Verified","Evidence required"),IF(F159="Complete","Check completion",IF(F159="Blocked","Blocked",IF(F159="In progress","In progress",IF(F159="In review","In review","Open")))))))</x:f>
        <x:v>Dependency open</x:v>
      </x:c>
      <x:c r="I159" s="2" t="str"/>
      <x:c r="J159" s="2" t="str"/>
      <x:c r="K159" s="2" t="str"/>
      <x:c r="L159" s="2" t="str">
        <x:v>P11.03.02</x:v>
      </x:c>
      <x:c r="M159" s="2" t="str"/>
      <x:c r="N159" s="2" t="str"/>
      <x:c r="O159" s="2" t="str">
        <x:f>IF(AND(OR(L159="",_xlfn.IFNA(VLOOKUP(L159,$A$6:$H$158,8,FALSE),"Missing")="Verified"),OR(M159="",_xlfn.IFNA(VLOOKUP(M159,$A$6:$H$158,8,FALSE),"Missing")="Verified"),OR(N159="",_xlfn.IFNA(VLOOKUP(N159,$A$6:$H$158,8,FALSE),"Missing")="Verified")),"Ready","Dependency open")</x:f>
        <x:v>Dependency open</x:v>
      </x:c>
      <x:c r="P159" s="8" t="str">
        <x:v>No reward for generated surplus or fabricated impact</x:v>
      </x:c>
      <x:c r="Q159" s="8" t="str">
        <x:v>Incentive abuse review</x:v>
      </x:c>
      <x:c r="R159" s="9"/>
      <x:c r="S159" s="9" t="n">
        <x:v>6000</x:v>
      </x:c>
      <x:c r="T159" s="2" t="str">
        <x:v>J-T01 / REQ-SCALE-01</x:v>
      </x:c>
      <x:c r="U159" s="8" t="str">
        <x:v>Proposed work; implementation not authorized by this documentation request.</x:v>
      </x:c>
      <x:c r="V159" s="2" t="str">
        <x:v>Scale</x:v>
      </x:c>
    </x:row>
    <x:row r="160" ht="60" customHeight="1">
      <x:c r="A160" s="2" t="str">
        <x:v>P11.03.04</x:v>
      </x:c>
      <x:c r="B160" s="2" t="str">
        <x:v>P11</x:v>
      </x:c>
      <x:c r="C160" s="8" t="str">
        <x:v>P11.03 Business rollout</x:v>
      </x:c>
      <x:c r="D160" s="8" t="str">
        <x:v>Approve phased expansion or stop</x:v>
      </x:c>
      <x:c r="E160" s="8" t="str">
        <x:v>Product/operations lead</x:v>
      </x:c>
      <x:c r="F160" s="8" t="str">
        <x:v>Not started</x:v>
      </x:c>
      <x:c r="G160" s="4" t="b">
        <x:v>0</x:v>
      </x:c>
      <x:c r="H160" s="2" t="str">
        <x:f>IF(COUNTIFS($A$6:$A$161,A160)&lt;&gt;1,"Duplicate ID",IF(O160&lt;&gt;"Ready","Dependency open",IF(G160=TRUE,IF(AND(F160="Complete",I160&lt;&gt;"",J160&lt;&gt;"",K160&lt;&gt;""),"Verified","Evidence required"),IF(F160="Complete","Check completion",IF(F160="Blocked","Blocked",IF(F160="In progress","In progress",IF(F160="In review","In review","Open")))))))</x:f>
        <x:v>Dependency open</x:v>
      </x:c>
      <x:c r="I160" s="2" t="str"/>
      <x:c r="J160" s="2" t="str"/>
      <x:c r="K160" s="2" t="str"/>
      <x:c r="L160" s="2" t="str">
        <x:v>P11.03.03</x:v>
      </x:c>
      <x:c r="M160" s="2" t="str"/>
      <x:c r="N160" s="2" t="str"/>
      <x:c r="O160" s="2" t="str">
        <x:f>IF(AND(OR(L160="",_xlfn.IFNA(VLOOKUP(L160,$A$6:$H$159,8,FALSE),"Missing")="Verified"),OR(M160="",_xlfn.IFNA(VLOOKUP(M160,$A$6:$H$159,8,FALSE),"Missing")="Verified"),OR(N160="",_xlfn.IFNA(VLOOKUP(N160,$A$6:$H$159,8,FALSE),"Missing")="Verified")),"Ready","Dependency open")</x:f>
        <x:v>Dependency open</x:v>
      </x:c>
      <x:c r="P160" s="8" t="str">
        <x:v>Retention, trust, measured outcomes and margin support decision</x:v>
      </x:c>
      <x:c r="Q160" s="8" t="str">
        <x:v>Scale investment decision</x:v>
      </x:c>
      <x:c r="R160" s="9"/>
      <x:c r="S160" s="9" t="n">
        <x:v>6000</x:v>
      </x:c>
      <x:c r="T160" s="2" t="str">
        <x:v>J-T01 / REQ-SCALE-01</x:v>
      </x:c>
      <x:c r="U160" s="8" t="str">
        <x:v>Proposed work; implementation not authorized by this documentation request.</x:v>
      </x:c>
      <x:c r="V160" s="2" t="str">
        <x:v>Scale</x:v>
      </x:c>
    </x:row>
    <x:row r="161" ht="60" customHeight="1">
      <x:c r="A161" s="2" t="str">
        <x:v>P11.90.01</x:v>
      </x:c>
      <x:c r="B161" s="2" t="str">
        <x:v>P11</x:v>
      </x:c>
      <x:c r="C161" s="8" t="str">
        <x:v>P11.90 Phase gate</x:v>
      </x:c>
      <x:c r="D161" s="8" t="str">
        <x:v>Review and accept ecosystem scale and commercial reliability</x:v>
      </x:c>
      <x:c r="E161" s="8" t="str">
        <x:v>Product owner + independent reviewer</x:v>
      </x:c>
      <x:c r="F161" s="8" t="str">
        <x:v>Not started</x:v>
      </x:c>
      <x:c r="G161" s="4" t="b">
        <x:v>0</x:v>
      </x:c>
      <x:c r="H161" s="2" t="str">
        <x:f>IF(COUNTIFS($A$6:$A$161,A161)&lt;&gt;1,"Duplicate ID",IF(O161&lt;&gt;"Ready","Dependency open",IF(G161=TRUE,IF(AND(F161="Complete",I161&lt;&gt;"",J161&lt;&gt;"",K161&lt;&gt;""),"Verified","Evidence required"),IF(F161="Complete","Check completion",IF(F161="Blocked","Blocked",IF(F161="In progress","In progress",IF(F161="In review","In review","Open")))))))</x:f>
        <x:v>Dependency open</x:v>
      </x:c>
      <x:c r="I161" s="2" t="str"/>
      <x:c r="J161" s="2" t="str"/>
      <x:c r="K161" s="2" t="str"/>
      <x:c r="L161" s="2" t="str">
        <x:v>P11.01.04</x:v>
      </x:c>
      <x:c r="M161" s="2" t="str">
        <x:v>P11.02.04</x:v>
      </x:c>
      <x:c r="N161" s="2" t="str">
        <x:v>P11.03.04</x:v>
      </x:c>
      <x:c r="O161" s="2" t="str">
        <x:f>IF(AND(OR(L161="",_xlfn.IFNA(VLOOKUP(L161,$A$6:$H$160,8,FALSE),"Missing")="Verified"),OR(M161="",_xlfn.IFNA(VLOOKUP(M161,$A$6:$H$160,8,FALSE),"Missing")="Verified"),OR(N161="",_xlfn.IFNA(VLOOKUP(N161,$A$6:$H$160,8,FALSE),"Missing")="Verified")),"Ready","Dependency open")</x:f>
        <x:v>Dependency open</x:v>
      </x:c>
      <x:c r="P161" s="8" t="str">
        <x:v>All prerequisites verified; critical risks closed or explicitly rejected for rollout; human records go/revise/stop decision.</x:v>
      </x:c>
      <x:c r="Q161" s="8" t="str">
        <x:v>Phase gate record with reviewer, evidence links, residual risks and next scope</x:v>
      </x:c>
      <x:c r="R161" s="9"/>
      <x:c r="S161" s="9" t="n">
        <x:v>4000</x:v>
      </x:c>
      <x:c r="T161" s="2" t="str">
        <x:v>P11-GATE</x:v>
      </x:c>
      <x:c r="U161" s="8" t="str">
        <x:v>Unchecked until phase evidence is reviewed. A written plan is not implementation evidence.</x:v>
      </x:c>
      <x:c r="V161" s="2" t="str">
        <x:v>Scale</x:v>
      </x:c>
    </x:row>
  </x:sheetData>
  <x:conditionalFormatting sqref="H6:H161">
    <x:cfRule type="expression" dxfId="0" priority="1">
      <x:formula>OR($H6="Duplicate ID",$H6="Evidence required",$H6="Check completion")</x:formula>
    </x:cfRule>
    <x:cfRule type="expression" dxfId="1" priority="2">
      <x:formula>$H6="Dependency open"</x:formula>
    </x:cfRule>
    <x:cfRule type="expression" dxfId="2" priority="3">
      <x:formula>$H6="Verified"</x:formula>
    </x:cfRule>
  </x:conditionalFormatting>
  <x:dataValidations count="1">
    <x:dataValidation type="list" sqref="F6:F161">
      <x:formula1>"Not started,In progress,Blocked,In review,Complete"</x:formula1>
    </x:dataValidation>
  </x:dataValidation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1" workbookViewId="0">
      <x:pane ySplit="5" topLeftCell="A6" activePane="bottomLeft" state="frozen"/>
    </x:sheetView>
  </x:sheetViews>
  <x:sheetFormatPr defaultRowHeight="15"/>
  <x:cols>
    <x:col min="1" max="1" width="17.5" hidden="0" customWidth="1"/>
    <x:col min="2" max="2" width="21.25" hidden="0" customWidth="1"/>
    <x:col min="3" max="3" width="17.5" hidden="0" customWidth="1"/>
    <x:col min="4" max="4" width="47.5" hidden="0" customWidth="1"/>
    <x:col min="5" max="5" width="40" hidden="0" customWidth="1"/>
    <x:col min="6" max="6" width="43.75" hidden="0" customWidth="1"/>
    <x:col min="7" max="7" width="21.25" hidden="0" customWidth="1"/>
    <x:col min="8" max="8" width="15.630000114440918" hidden="0" customWidth="1"/>
    <x:col min="9" max="9" width="43.75" hidden="0" customWidth="1"/>
    <x:col min="10" max="10" width="28.75" hidden="0" customWidth="1"/>
    <x:col min="11" max="11" width="17.5" hidden="0" customWidth="1"/>
    <x:col min="12" max="12" width="16.25" hidden="0" customWidth="1"/>
  </x:cols>
  <x:sheetData>
    <x:row r="1" ht="26" customHeight="1">
      <x:c r="A1" s="3" t="str">
        <x:v>Decisions and tradeoffs</x:v>
      </x:c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</x:row>
    <x:row r="2">
      <x:c r="A2" s="2" t="str">
        <x:v>Proposed / recommended is not human approval. Record evidence, approver and date when resolved.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</x:row>
    <x:row r="3">
      <x:c r="A3" s="2"/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</x:row>
    <x:row r="4">
      <x:c r="A4" s="2"/>
      <x:c r="B4" s="2"/>
      <x:c r="C4" s="2"/>
      <x:c r="D4" s="2"/>
      <x:c r="E4" s="2"/>
      <x:c r="F4" s="2"/>
      <x:c r="G4" s="2"/>
      <x:c r="H4" s="2"/>
      <x:c r="I4" s="2"/>
      <x:c r="J4" s="2"/>
      <x:c r="K4" s="2"/>
      <x:c r="L4" s="2"/>
    </x:row>
    <x:row r="5" ht="32" customHeight="1">
      <x:c r="A5" s="7" t="str">
        <x:v>Decision ID</x:v>
      </x:c>
      <x:c r="B5" s="7" t="str">
        <x:v>Choice</x:v>
      </x:c>
      <x:c r="C5" s="7" t="str">
        <x:v>Disposition</x:v>
      </x:c>
      <x:c r="D5" s="7" t="str">
        <x:v>Recommendation</x:v>
      </x:c>
      <x:c r="E5" s="7" t="str">
        <x:v>Alternatives</x:v>
      </x:c>
      <x:c r="F5" s="7" t="str">
        <x:v>Reason</x:v>
      </x:c>
      <x:c r="G5" s="7" t="str">
        <x:v>Owner role</x:v>
      </x:c>
      <x:c r="H5" s="7" t="str">
        <x:v>Linked unit</x:v>
      </x:c>
      <x:c r="I5" s="7" t="str">
        <x:v>Revisit trigger</x:v>
      </x:c>
      <x:c r="J5" s="7" t="str">
        <x:v>Evidence</x:v>
      </x:c>
      <x:c r="K5" s="7" t="str">
        <x:v>Approver</x:v>
      </x:c>
      <x:c r="L5" s="7" t="str">
        <x:v>Decision date</x:v>
      </x:c>
    </x:row>
    <x:row r="6" ht="84" customHeight="1">
      <x:c r="A6" s="8" t="str">
        <x:v>DEC-PLAT-001</x:v>
      </x:c>
      <x:c r="B6" s="8" t="str">
        <x:v>First implementation lane</x:v>
      </x:c>
      <x:c r="C6" s="8" t="str">
        <x:v>Proposed</x:v>
      </x:c>
      <x:c r="D6" s="8" t="str">
        <x:v>One household changed-plan journey; switch to kitchen first only with better actor/data access</x:v>
      </x:c>
      <x:c r="E6" s="8" t="str">
        <x:v>Three full lanes at once; generic material marketplace</x:v>
      </x:c>
      <x:c r="F6" s="8" t="str">
        <x:v>Small enough to prove the shared loop; competition and residual gap still unknown</x:v>
      </x:c>
      <x:c r="G6" s="8" t="str">
        <x:v>Product owner</x:v>
      </x:c>
      <x:c r="H6" s="8" t="str">
        <x:v>P00.01.03</x:v>
      </x:c>
      <x:c r="I6" s="8" t="str">
        <x:v>Observed actor access and residual pain change the preferred lane</x:v>
      </x:c>
      <x:c r="J6" s="8" t="str"/>
      <x:c r="K6" s="8" t="str"/>
      <x:c r="L6" s="8" t="str"/>
    </x:row>
    <x:row r="7" ht="84" customHeight="1">
      <x:c r="A7" s="8" t="str">
        <x:v>DEC-PLAT-002</x:v>
      </x:c>
      <x:c r="B7" s="8" t="str">
        <x:v>Platform expansion</x:v>
      </x:c>
      <x:c r="C7" s="8" t="str">
        <x:v>Proposed</x:v>
      </x:c>
      <x:c r="D7" s="8" t="str">
        <x:v>Shared trust/evidence/action core with separately gated domain modules</x:v>
      </x:c>
      <x:c r="E7" s="8" t="str">
        <x:v>One universal resource engine; separate disconnected apps</x:v>
      </x:c>
      <x:c r="F7" s="8" t="str">
        <x:v>Reuse coordination contracts without conflating food safety, repair and meter authority</x:v>
      </x:c>
      <x:c r="G7" s="8" t="str">
        <x:v>Product owner + technical lead</x:v>
      </x:c>
      <x:c r="H7" s="8" t="str">
        <x:v>P08.90.01</x:v>
      </x:c>
      <x:c r="I7" s="8" t="str">
        <x:v>Second domain cannot reuse core safely or does not show demand</x:v>
      </x:c>
      <x:c r="J7" s="8" t="str"/>
      <x:c r="K7" s="8" t="str"/>
      <x:c r="L7" s="8" t="str"/>
    </x:row>
    <x:row r="8" ht="84" customHeight="1">
      <x:c r="A8" s="8" t="str">
        <x:v>DEC-PLAT-003</x:v>
      </x:c>
      <x:c r="B8" s="8" t="str">
        <x:v>Backend structure</x:v>
      </x:c>
      <x:c r="C8" s="8" t="str">
        <x:v>Recommended</x:v>
      </x:c>
      <x:c r="D8" s="8" t="str">
        <x:v>Modular FastAPI monolith and bounded worker when required</x:v>
      </x:c>
      <x:c r="E8" s="8" t="str">
        <x:v>Microservices from day one; frontend-only logic</x:v>
      </x:c>
      <x:c r="F8" s="8" t="str">
        <x:v>Fewer transaction and deployment seams while preserving domain boundaries</x:v>
      </x:c>
      <x:c r="G8" s="8" t="str">
        <x:v>Technical lead</x:v>
      </x:c>
      <x:c r="H8" s="8" t="str">
        <x:v>P01.90.01</x:v>
      </x:c>
      <x:c r="I8" s="8" t="str">
        <x:v>Measured scaling, security ownership or release independence justifies split</x:v>
      </x:c>
      <x:c r="J8" s="8" t="str"/>
      <x:c r="K8" s="8" t="str"/>
      <x:c r="L8" s="8" t="str"/>
    </x:row>
    <x:row r="9" ht="84" customHeight="1">
      <x:c r="A9" s="8" t="str">
        <x:v>DEC-PLAT-004</x:v>
      </x:c>
      <x:c r="B9" s="8" t="str">
        <x:v>Runtime compatibility</x:v>
      </x:c>
      <x:c r="C9" s="8" t="str">
        <x:v>Open</x:v>
      </x:c>
      <x:c r="D9" s="8" t="str">
        <x:v>Verify current Next.js/Node support on App Hosting before pinning deployment pair</x:v>
      </x:c>
      <x:c r="E9" s="8" t="str">
        <x:v>Assume repo version works; automatically downgrade</x:v>
      </x:c>
      <x:c r="F9" s="8" t="str">
        <x:v>Existing package version and retrieved support schedule differ; no deploy proof</x:v>
      </x:c>
      <x:c r="G9" s="8" t="str">
        <x:v>Platform lead</x:v>
      </x:c>
      <x:c r="H9" s="8" t="str">
        <x:v>P01.03.01</x:v>
      </x:c>
      <x:c r="I9" s="8" t="str">
        <x:v>Official support or a measured deployed compatibility test settles pair</x:v>
      </x:c>
      <x:c r="J9" s="8" t="str"/>
      <x:c r="K9" s="8" t="str"/>
      <x:c r="L9" s="8" t="str"/>
    </x:row>
    <x:row r="10" ht="84" customHeight="1">
      <x:c r="A10" s="8" t="str">
        <x:v>DEC-PLAT-005</x:v>
      </x:c>
      <x:c r="B10" s="8" t="str">
        <x:v>Canonical storage</x:v>
      </x:c>
      <x:c r="C10" s="8" t="str">
        <x:v>Existing stack constraint</x:v>
      </x:c>
      <x:c r="D10" s="8" t="str">
        <x:v>Firestore versioned document state and Cloud Storage media; reevaluate relational needs later</x:v>
      </x:c>
      <x:c r="E10" s="8" t="str">
        <x:v>PostgreSQL now; in-memory canonical state</x:v>
      </x:c>
      <x:c r="F10" s="8" t="str">
        <x:v>Fits selected stack and bounded workflows; cross-org joins need careful projections</x:v>
      </x:c>
      <x:c r="G10" s="8" t="str">
        <x:v>Technical lead</x:v>
      </x:c>
      <x:c r="H10" s="8" t="str">
        <x:v>P01.02.04</x:v>
      </x:c>
      <x:c r="I10" s="8" t="str">
        <x:v>Transaction contention or reporting constraints dominate</x:v>
      </x:c>
      <x:c r="J10" s="8" t="str"/>
      <x:c r="K10" s="8" t="str"/>
      <x:c r="L10" s="8" t="str"/>
    </x:row>
    <x:row r="11" ht="84" customHeight="1">
      <x:c r="A11" s="8" t="str">
        <x:v>DEC-PLAT-006</x:v>
      </x:c>
      <x:c r="B11" s="8" t="str">
        <x:v>Authorization</x:v>
      </x:c>
      <x:c r="C11" s="8" t="str">
        <x:v>Required invariant</x:v>
      </x:c>
      <x:c r="D11" s="8" t="str">
        <x:v>Verified identity plus active membership, role, consent and resource scope; fail closed</x:v>
      </x:c>
      <x:c r="E11" s="8" t="str">
        <x:v>Trust body tenant ID; default tenant; token-only organization membership</x:v>
      </x:c>
      <x:c r="F11" s="8" t="str">
        <x:v>Prevent cross-tenant reads and stale authority after revocation</x:v>
      </x:c>
      <x:c r="G11" s="8" t="str">
        <x:v>Security/backend lead</x:v>
      </x:c>
      <x:c r="H11" s="8" t="str">
        <x:v>P01.01.04</x:v>
      </x:c>
      <x:c r="I11" s="8" t="str">
        <x:v>No relaxation; improve implementation with equivalent or stronger proof</x:v>
      </x:c>
      <x:c r="J11" s="8" t="str"/>
      <x:c r="K11" s="8" t="str"/>
      <x:c r="L11" s="8" t="str"/>
    </x:row>
    <x:row r="12" ht="84" customHeight="1">
      <x:c r="A12" s="8" t="str">
        <x:v>DEC-PLAT-007</x:v>
      </x:c>
      <x:c r="B12" s="8" t="str">
        <x:v>Facts and approvals</x:v>
      </x:c>
      <x:c r="C12" s="8" t="str">
        <x:v>Required invariant</x:v>
      </x:c>
      <x:c r="D12" s="8" t="str">
        <x:v>Candidate isolation; explicit confirmation; immutable version-bound preview and authorized approval</x:v>
      </x:c>
      <x:c r="E12" s="8" t="str">
        <x:v>Agent writes facts or self-authorizes execution</x:v>
      </x:c>
      <x:c r="F12" s="8" t="str">
        <x:v>Human authority and current source state govern every physical effect</x:v>
      </x:c>
      <x:c r="G12" s="8" t="str">
        <x:v>Technical lead</x:v>
      </x:c>
      <x:c r="H12" s="8" t="str">
        <x:v>P03.02.04</x:v>
      </x:c>
      <x:c r="I12" s="8" t="str">
        <x:v>No relaxation; contract changes require migration and denial checks</x:v>
      </x:c>
      <x:c r="J12" s="8" t="str"/>
      <x:c r="K12" s="8" t="str"/>
      <x:c r="L12" s="8" t="str"/>
    </x:row>
    <x:row r="13" ht="84" customHeight="1">
      <x:c r="A13" s="8" t="str">
        <x:v>DEC-PLAT-008</x:v>
      </x:c>
      <x:c r="B13" s="8" t="str">
        <x:v>Food policy</x:v>
      </x:c>
      <x:c r="C13" s="8" t="str">
        <x:v>Required invariant</x:v>
      </x:c>
      <x:c r="D13" s="8" t="str">
        <x:v>Reviewed category/site policy bundles; missing applicability holds for review</x:v>
      </x:c>
      <x:c r="E13" s="8" t="str">
        <x:v>Universal hardcoded time/temperature thresholds from examples</x:v>
      </x:c>
      <x:c r="F13" s="8" t="str">
        <x:v>Current local shortcuts are not established by cited rule text</x:v>
      </x:c>
      <x:c r="G13" s="8" t="str">
        <x:v>Qualified policy owner</x:v>
      </x:c>
      <x:c r="H13" s="8" t="str">
        <x:v>P06.01.01</x:v>
      </x:c>
      <x:c r="I13" s="8" t="str">
        <x:v>Reviewed official amendment or site policy updates versioned bundle</x:v>
      </x:c>
      <x:c r="J13" s="8" t="str"/>
      <x:c r="K13" s="8" t="str"/>
      <x:c r="L13" s="8" t="str"/>
    </x:row>
    <x:row r="14" ht="84" customHeight="1">
      <x:c r="A14" s="8" t="str">
        <x:v>DEC-PLAT-009</x:v>
      </x:c>
      <x:c r="B14" s="8" t="str">
        <x:v>AI structure</x:v>
      </x:c>
      <x:c r="C14" s="8" t="str">
        <x:v>Recommended</x:v>
      </x:c>
      <x:c r="D14" s="8" t="str">
        <x:v>Structured extraction and one bounded allowlisted ADK coordinator, evaluated separately</x:v>
      </x:c>
      <x:c r="E14" s="8" t="str">
        <x:v>Multi-agent product runtime; unlimited tool loop; rules-only forever</x:v>
      </x:c>
      <x:c r="F14" s="8" t="str">
        <x:v>AI may help ambiguity; arithmetic and authority stay deterministic</x:v>
      </x:c>
      <x:c r="G14" s="8" t="str">
        <x:v>AI lead</x:v>
      </x:c>
      <x:c r="H14" s="8" t="str">
        <x:v>P03.03.04</x:v>
      </x:c>
      <x:c r="I14" s="8" t="str">
        <x:v>Comparison shows a step adds no benefit or a justified workflow needs more</x:v>
      </x:c>
      <x:c r="J14" s="8" t="str"/>
      <x:c r="K14" s="8" t="str"/>
      <x:c r="L14" s="8" t="str"/>
    </x:row>
    <x:row r="15" ht="84" customHeight="1">
      <x:c r="A15" s="8" t="str">
        <x:v>DEC-PLAT-010</x:v>
      </x:c>
      <x:c r="B15" s="8" t="str">
        <x:v>Policy retrieval</x:v>
      </x:c>
      <x:c r="C15" s="8" t="str">
        <x:v>Deferred</x:v>
      </x:c>
      <x:c r="D15" s="8" t="str">
        <x:v>Small reviewed rule table and source links first</x:v>
      </x:c>
      <x:c r="E15" s="8" t="str">
        <x:v>Vertex AI Search/RAG immediately</x:v>
      </x:c>
      <x:c r="F15" s="8" t="str">
        <x:v>Corpus size and retrieval need are unproven; retrieved prose cannot publish policy</x:v>
      </x:c>
      <x:c r="G15" s="8" t="str">
        <x:v>Policy/AI lead</x:v>
      </x:c>
      <x:c r="H15" s="8" t="str">
        <x:v>P06.01.01</x:v>
      </x:c>
      <x:c r="I15" s="8" t="str">
        <x:v>Authorized corpus and real questions show retrieval improves the task</x:v>
      </x:c>
      <x:c r="J15" s="8" t="str"/>
      <x:c r="K15" s="8" t="str"/>
      <x:c r="L15" s="8" t="str"/>
    </x:row>
    <x:row r="16" ht="84" customHeight="1">
      <x:c r="A16" s="8" t="str">
        <x:v>DEC-PLAT-011</x:v>
      </x:c>
      <x:c r="B16" s="8" t="str">
        <x:v>Jobs and external actions</x:v>
      </x:c>
      <x:c r="C16" s="8" t="str">
        <x:v>Recommended</x:v>
      </x:c>
      <x:c r="D16" s="8" t="str">
        <x:v>Outbox plus idempotent worker for durable effects; reconcile ambiguous provider states</x:v>
      </x:c>
      <x:c r="E16" s="8" t="str">
        <x:v>Provider call inside transaction; blind retry after timeout</x:v>
      </x:c>
      <x:c r="F16" s="8" t="str">
        <x:v>Transactions can retry and networks duplicate or hide successful effects</x:v>
      </x:c>
      <x:c r="G16" s="8" t="str">
        <x:v>Backend lead</x:v>
      </x:c>
      <x:c r="H16" s="8" t="str">
        <x:v>P03.02.04</x:v>
      </x:c>
      <x:c r="I16" s="8" t="str">
        <x:v>A synchronous bounded demo needs no durable external work; keep effect boundary</x:v>
      </x:c>
      <x:c r="J16" s="8" t="str"/>
      <x:c r="K16" s="8" t="str"/>
      <x:c r="L16" s="8" t="str"/>
    </x:row>
    <x:row r="17" ht="84" customHeight="1">
      <x:c r="A17" s="8" t="str">
        <x:v>DEC-PLAT-012</x:v>
      </x:c>
      <x:c r="B17" s="8" t="str">
        <x:v>Product real-time behavior</x:v>
      </x:c>
      <x:c r="C17" s="8" t="str">
        <x:v>Recommended</x:v>
      </x:c>
      <x:c r="D17" s="8" t="str">
        <x:v>Bounded polling with versions initially; scoped events only after measured need</x:v>
      </x:c>
      <x:c r="E17" s="8" t="str">
        <x:v>Persistent streams everywhere; unscoped global listeners</x:v>
      </x:c>
      <x:c r="F17" s="8" t="str">
        <x:v>Recoverable and easier to secure; acknowledgement and timestamps matter first</x:v>
      </x:c>
      <x:c r="G17" s="8" t="str">
        <x:v>Fullstack lead</x:v>
      </x:c>
      <x:c r="H17" s="8" t="str">
        <x:v>P03.03.03</x:v>
      </x:c>
      <x:c r="I17" s="8" t="str">
        <x:v>Collaboration latency/read costs justify streams</x:v>
      </x:c>
      <x:c r="J17" s="8" t="str"/>
      <x:c r="K17" s="8" t="str"/>
      <x:c r="L17" s="8" t="str"/>
    </x:row>
    <x:row r="18" ht="84" customHeight="1">
      <x:c r="A18" s="8" t="str">
        <x:v>DEC-PLAT-013</x:v>
      </x:c>
      <x:c r="B18" s="8" t="str">
        <x:v>Execution harness authority</x:v>
      </x:c>
      <x:c r="C18" s="8" t="str">
        <x:v>Recommended</x:v>
      </x:c>
      <x:c r="D18" s="8" t="str">
        <x:v>Google Sheet is live task status; Docs are narrative; local JSON/Markdown are dated snapshots</x:v>
      </x:c>
      <x:c r="E18" s="8" t="str">
        <x:v>Dual live status in repo and Drive; autonomous two-way sync now</x:v>
      </x:c>
      <x:c r="F18" s="8" t="str">
        <x:v>Native collaboration works now without product code; avoids conflicting checklists</x:v>
      </x:c>
      <x:c r="G18" s="8" t="str">
        <x:v>Product/technical lead</x:v>
      </x:c>
      <x:c r="H18" s="8" t="str">
        <x:v>P00.03.03</x:v>
      </x:c>
      <x:c r="I18" s="8" t="str">
        <x:v>Team needs repo-owned CI status and authorizes a synchronization tool</x:v>
      </x:c>
      <x:c r="J18" s="8" t="str"/>
      <x:c r="K18" s="8" t="str"/>
      <x:c r="L18" s="8" t="str"/>
    </x:row>
    <x:row r="19" ht="84" customHeight="1">
      <x:c r="A19" s="8" t="str">
        <x:v>DEC-PLAT-014</x:v>
      </x:c>
      <x:c r="B19" s="8" t="str">
        <x:v>Measurement and incentives</x:v>
      </x:c>
      <x:c r="C19" s="8" t="str">
        <x:v>Required invariant</x:v>
      </x:c>
      <x:c r="D19" s="8" t="str">
        <x:v>Stage-specific physical metrics and explicit status; no unexplained eco-score or carbon credit</x:v>
      </x:c>
      <x:c r="E19" s="8" t="str">
        <x:v>Automatically convert every action into CO2/water saved; reward waste volume</x:v>
      </x:c>
      <x:c r="F19" s="8" t="str">
        <x:v>Prevents double counting and perverse incentives; attribution needs a counterfactual</x:v>
      </x:c>
      <x:c r="G19" s="8" t="str">
        <x:v>Measurement lead</x:v>
      </x:c>
      <x:c r="H19" s="8" t="str">
        <x:v>P08.03.04</x:v>
      </x:c>
      <x:c r="I19" s="8" t="str">
        <x:v>Reviewed factor methodology allows separately labeled scenarios</x:v>
      </x:c>
      <x:c r="J19" s="8" t="str"/>
      <x:c r="K19" s="8" t="str"/>
      <x:c r="L19" s="8" t="str"/>
    </x:row>
    <x:row r="20" ht="84" customHeight="1">
      <x:c r="A20" s="8" t="str">
        <x:v>DEC-PLAT-015</x:v>
      </x:c>
      <x:c r="B20" s="8" t="str">
        <x:v>Partner integration and marketplace</x:v>
      </x:c>
      <x:c r="C20" s="8" t="str">
        <x:v>Deferred</x:v>
      </x:c>
      <x:c r="D20" s="8" t="str">
        <x:v>Simulated adapters; later permissioned local network before public marketplace</x:v>
      </x:c>
      <x:c r="E20" s="8" t="str">
        <x:v>Live checkout/dispatch from advertised MCP; open marketplace immediately</x:v>
      </x:c>
      <x:c r="F20" s="8" t="str">
        <x:v>Provider existence does not grant access, capacity or transaction authority</x:v>
      </x:c>
      <x:c r="G20" s="8" t="str">
        <x:v>Partner lead</x:v>
      </x:c>
      <x:c r="H20" s="8" t="str">
        <x:v>P06.03.04</x:v>
      </x:c>
      <x:c r="I20" s="8" t="str">
        <x:v>Rights, operational capacity, human approval and retry safeguards verified</x:v>
      </x:c>
      <x:c r="J20" s="8" t="str"/>
      <x:c r="K20" s="8" t="str"/>
      <x:c r="L20" s="8" t="str"/>
    </x:row>
    <x:row r="21" ht="84" customHeight="1">
      <x:c r="A21" s="8" t="str">
        <x:v>DEC-PLAT-016</x:v>
      </x:c>
      <x:c r="B21" s="8" t="str">
        <x:v>Token and session budget</x:v>
      </x:c>
      <x:c r="C21" s="8" t="str">
        <x:v>Recommended</x:v>
      </x:c>
      <x:c r="D21" s="8" t="str">
        <x:v>One granular task/context packet; checkpoints and recorded actual usage</x:v>
      </x:c>
      <x:c r="E21" s="8" t="str">
        <x:v>Whole corpus every turn; assume agents reduce token cost</x:v>
      </x:c>
      <x:c r="F21" s="8" t="str">
        <x:v>Bounded context improves continuity; account allowance is unknown and variable</x:v>
      </x:c>
      <x:c r="G21" s="8" t="str">
        <x:v>Technical lead</x:v>
      </x:c>
      <x:c r="H21" s="8" t="str">
        <x:v>P00.03.02</x:v>
      </x:c>
      <x:c r="I21" s="8" t="str">
        <x:v>Observed task size/usage supports smaller or larger packet</x:v>
      </x:c>
      <x:c r="J21" s="8" t="str"/>
      <x:c r="K21" s="8" t="str"/>
      <x:c r="L21" s="8" t="str"/>
    </x:row>
    <x:row r="22" ht="84" customHeight="1">
      <x:c r="A22" s="8" t="str">
        <x:v>DEC-PLAT-017</x:v>
      </x:c>
      <x:c r="B22" s="8" t="str">
        <x:v>Software factory workflow</x:v>
      </x:c>
      <x:c r="C22" s="8" t="str">
        <x:v>Recommended</x:v>
      </x:c>
      <x:c r="D22" s="8" t="str">
        <x:v>Role cards, task packets, two-pass review and evidence gates as documentation first</x:v>
      </x:c>
      <x:c r="E22" s="8" t="str">
        <x:v>Install many overlapping skills/hooks before workflow is exercised</x:v>
      </x:c>
      <x:c r="F22" s="8" t="str">
        <x:v>Deterministic enforcement should be added only for repeat failures with a measurable benefit</x:v>
      </x:c>
      <x:c r="G22" s="8" t="str">
        <x:v>Technical lead</x:v>
      </x:c>
      <x:c r="H22" s="8" t="str">
        <x:v>P00.03.03</x:v>
      </x:c>
      <x:c r="I22" s="8" t="str">
        <x:v>Repeated drift justifies a small approved skill or validator</x:v>
      </x:c>
      <x:c r="J22" s="8" t="str"/>
      <x:c r="K22" s="8" t="str"/>
      <x:c r="L22" s="8" t="str"/>
    </x:row>
    <x:row r="23" ht="84" customHeight="1">
      <x:c r="A23" s="8" t="str">
        <x:v>DEC-PLAT-018</x:v>
      </x:c>
      <x:c r="B23" s="8" t="str">
        <x:v>API prefix and health</x:v>
      </x:c>
      <x:c r="C23" s="8" t="str">
        <x:v>Proposed</x:v>
      </x:c>
      <x:c r="D23" s="8" t="str">
        <x:v>One /v1 API prefix and root /health; explicitly migrate current /api/v1 client</x:v>
      </x:c>
      <x:c r="E23" s="8" t="str">
        <x:v>Keep two unowned prefixes; assume health probes match</x:v>
      </x:c>
      <x:c r="F23" s="8" t="str">
        <x:v>Spec and starter differ; a single documented contract prevents integration drift</x:v>
      </x:c>
      <x:c r="G23" s="8" t="str">
        <x:v>Technical lead</x:v>
      </x:c>
      <x:c r="H23" s="8" t="str">
        <x:v>P01.03.03</x:v>
      </x:c>
      <x:c r="I23" s="8" t="str">
        <x:v>Existing consumers require a temporary documented alias</x:v>
      </x:c>
      <x:c r="J23" s="8" t="str"/>
      <x:c r="K23" s="8" t="str"/>
      <x:c r="L23" s="8" t="str"/>
    </x:row>
    <x:row r="24" ht="84" customHeight="1">
      <x:c r="A24" s="8" t="str">
        <x:v>DEC-PLAT-019</x:v>
      </x:c>
      <x:c r="B24" s="8" t="str">
        <x:v>Evaluation coverage</x:v>
      </x:c>
      <x:c r="C24" s="8" t="str">
        <x:v>Recommended</x:v>
      </x:c>
      <x:c r="D24" s="8" t="str">
        <x:v>Audit seed cases and add selected-lane coverage; distinguish case count from independent trials</x:v>
      </x:c>
      <x:c r="E24" s="8" t="str">
        <x:v>Call 23 seeds a complete benchmark; claim all planned cases passed</x:v>
      </x:c>
      <x:c r="F24" s="8" t="str">
        <x:v>Historical 23 versus 12–20/lane targets are proposals with different coverage</x:v>
      </x:c>
      <x:c r="G24" s="8" t="str">
        <x:v>Evaluation lead</x:v>
      </x:c>
      <x:c r="H24" s="8" t="str">
        <x:v>P02.02.04</x:v>
      </x:c>
      <x:c r="I24" s="8" t="str">
        <x:v>Risk-based coverage requires additional scenario families</x:v>
      </x:c>
      <x:c r="J24" s="8" t="str"/>
      <x:c r="K24" s="8" t="str"/>
      <x:c r="L24" s="8" t="str"/>
    </x:row>
    <x:row r="25" ht="84" customHeight="1">
      <x:c r="A25" s="8" t="str">
        <x:v>DEC-PLAT-020</x:v>
      </x:c>
      <x:c r="B25" s="8" t="str">
        <x:v>Current work authorization</x:v>
      </x:c>
      <x:c r="C25" s="8" t="str">
        <x:v>User constraint</x:v>
      </x:c>
      <x:c r="D25" s="8" t="str">
        <x:v>Documentation/research and live planning artifacts only; implementation requires later direction</x:v>
      </x:c>
      <x:c r="E25" s="8" t="str">
        <x:v>Treat this request as permission to modify application code or deploy</x:v>
      </x:c>
      <x:c r="F25" s="8" t="str">
        <x:v>User explicitly requested ideation, tradeoffs and feasibility with no code changes</x:v>
      </x:c>
      <x:c r="G25" s="8" t="str">
        <x:v>Product owner</x:v>
      </x:c>
      <x:c r="H25" s="8" t="str">
        <x:v>P00.03.04</x:v>
      </x:c>
      <x:c r="I25" s="8" t="str">
        <x:v>User explicitly authorizes implementation scope</x:v>
      </x:c>
      <x:c r="J25" s="8" t="str"/>
      <x:c r="K25" s="8" t="str"/>
      <x:c r="L25" s="8" t="str"/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1" workbookViewId="0">
      <x:pane ySplit="5" topLeftCell="A6" activePane="bottomLeft" state="frozen"/>
    </x:sheetView>
  </x:sheetViews>
  <x:sheetFormatPr defaultRowHeight="15"/>
  <x:cols>
    <x:col min="1" max="1" width="13.75" hidden="0" customWidth="1"/>
    <x:col min="2" max="2" width="31.25" hidden="0" customWidth="1"/>
    <x:col min="3" max="3" width="11.25" hidden="0" customWidth="1"/>
    <x:col min="4" max="4" width="37.5" hidden="0" customWidth="1"/>
    <x:col min="5" max="5" width="43.75" hidden="0" customWidth="1"/>
    <x:col min="6" max="6" width="20" hidden="0" customWidth="1"/>
    <x:col min="7" max="7" width="16.25" hidden="0" customWidth="1"/>
    <x:col min="8" max="8" width="30" hidden="0" customWidth="1"/>
    <x:col min="9" max="9" width="18.75" hidden="0" customWidth="1"/>
  </x:cols>
  <x:sheetData>
    <x:row r="1" ht="26" customHeight="1">
      <x:c r="A1" s="3" t="str">
        <x:v>Risks and next evidence</x:v>
      </x:c>
      <x:c r="B1" s="2"/>
      <x:c r="C1" s="2"/>
      <x:c r="D1" s="2"/>
      <x:c r="E1" s="2"/>
      <x:c r="F1" s="2"/>
      <x:c r="G1" s="2"/>
      <x:c r="H1" s="2"/>
      <x:c r="I1" s="2"/>
    </x:row>
    <x:row r="2">
      <x:c r="A2" s="2"/>
      <x:c r="B2" s="2"/>
      <x:c r="C2" s="2"/>
      <x:c r="D2" s="2"/>
      <x:c r="E2" s="2"/>
      <x:c r="F2" s="2"/>
      <x:c r="G2" s="2"/>
      <x:c r="H2" s="2"/>
      <x:c r="I2" s="2"/>
    </x:row>
    <x:row r="3">
      <x:c r="A3" s="2"/>
      <x:c r="B3" s="2"/>
      <x:c r="C3" s="2"/>
      <x:c r="D3" s="2"/>
      <x:c r="E3" s="2"/>
      <x:c r="F3" s="2"/>
      <x:c r="G3" s="2"/>
      <x:c r="H3" s="2"/>
      <x:c r="I3" s="2"/>
    </x:row>
    <x:row r="4">
      <x:c r="A4" s="2"/>
      <x:c r="B4" s="2"/>
      <x:c r="C4" s="2"/>
      <x:c r="D4" s="2"/>
      <x:c r="E4" s="2"/>
      <x:c r="F4" s="2"/>
      <x:c r="G4" s="2"/>
      <x:c r="H4" s="2"/>
      <x:c r="I4" s="2"/>
    </x:row>
    <x:row r="5" ht="32" customHeight="1">
      <x:c r="A5" s="7" t="str">
        <x:v>Risk ID</x:v>
      </x:c>
      <x:c r="B5" s="7" t="str">
        <x:v>Risk</x:v>
      </x:c>
      <x:c r="C5" s="7" t="str">
        <x:v>State</x:v>
      </x:c>
      <x:c r="D5" s="7" t="str">
        <x:v>Trigger</x:v>
      </x:c>
      <x:c r="E5" s="7" t="str">
        <x:v>Response / next evidence</x:v>
      </x:c>
      <x:c r="F5" s="7" t="str">
        <x:v>Owner role</x:v>
      </x:c>
      <x:c r="G5" s="7" t="str">
        <x:v>Linked unit</x:v>
      </x:c>
      <x:c r="H5" s="7" t="str">
        <x:v>Evidence / update</x:v>
      </x:c>
      <x:c r="I5" s="7" t="str">
        <x:v>Disposition</x:v>
      </x:c>
    </x:row>
    <x:row r="6" ht="62" customHeight="1">
      <x:c r="A6" s="8" t="str">
        <x:v>RISK-01</x:v>
      </x:c>
      <x:c r="B6" s="8" t="str">
        <x:v>Residual pain unproven</x:v>
      </x:c>
      <x:c r="C6" s="8" t="str">
        <x:v>Open</x:v>
      </x:c>
      <x:c r="D6" s="8" t="str">
        <x:v>Existing list/service handles chosen cases</x:v>
      </x:c>
      <x:c r="E6" s="8" t="str">
        <x:v>Reconstruct real episodes and compare baseline</x:v>
      </x:c>
      <x:c r="F6" s="8" t="str">
        <x:v>Product owner</x:v>
      </x:c>
      <x:c r="G6" s="8" t="str">
        <x:v>P00.01.02</x:v>
      </x:c>
      <x:c r="H6" s="8" t="str"/>
      <x:c r="I6" s="8" t="str">
        <x:v>Unresolved</x:v>
      </x:c>
    </x:row>
    <x:row r="7" ht="62" customHeight="1">
      <x:c r="A7" s="8" t="str">
        <x:v>RISK-02</x:v>
      </x:c>
      <x:c r="B7" s="8" t="str">
        <x:v>Data rights or authority unavailable</x:v>
      </x:c>
      <x:c r="C7" s="8" t="str">
        <x:v>Open</x:v>
      </x:c>
      <x:c r="D7" s="8" t="str">
        <x:v>No consenting source/decision owner</x:v>
      </x:c>
      <x:c r="E7" s="8" t="str">
        <x:v>Obtain artifact rights or defer feature</x:v>
      </x:c>
      <x:c r="F7" s="8" t="str">
        <x:v>Research lead</x:v>
      </x:c>
      <x:c r="G7" s="8" t="str">
        <x:v>P00.02.04</x:v>
      </x:c>
      <x:c r="H7" s="8" t="str"/>
      <x:c r="I7" s="8" t="str">
        <x:v>Unresolved</x:v>
      </x:c>
    </x:row>
    <x:row r="8" ht="62" customHeight="1">
      <x:c r="A8" s="8" t="str">
        <x:v>RISK-03</x:v>
      </x:c>
      <x:c r="B8" s="8" t="str">
        <x:v>Unsafe policy shortcut</x:v>
      </x:c>
      <x:c r="C8" s="8" t="str">
        <x:v>Open</x:v>
      </x:c>
      <x:c r="D8" s="8" t="str">
        <x:v>Unreviewed threshold or food-safety claim</x:v>
      </x:c>
      <x:c r="E8" s="8" t="str">
        <x:v>Block live recovery; qualified policy review</x:v>
      </x:c>
      <x:c r="F8" s="8" t="str">
        <x:v>Policy owner</x:v>
      </x:c>
      <x:c r="G8" s="8" t="str">
        <x:v>P06.01.01</x:v>
      </x:c>
      <x:c r="H8" s="8" t="str"/>
      <x:c r="I8" s="8" t="str">
        <x:v>Unresolved</x:v>
      </x:c>
    </x:row>
    <x:row r="9" ht="62" customHeight="1">
      <x:c r="A9" s="8" t="str">
        <x:v>RISK-04</x:v>
      </x:c>
      <x:c r="B9" s="8" t="str">
        <x:v>Deployment or model access blocked</x:v>
      </x:c>
      <x:c r="C9" s="8" t="str">
        <x:v>Open</x:v>
      </x:c>
      <x:c r="D9" s="8" t="str">
        <x:v>Unsupported runtime/IAM/quota</x:v>
      </x:c>
      <x:c r="E9" s="8" t="str">
        <x:v>Verify early and cut optional scope</x:v>
      </x:c>
      <x:c r="F9" s="8" t="str">
        <x:v>Platform lead</x:v>
      </x:c>
      <x:c r="G9" s="8" t="str">
        <x:v>P01.03.01</x:v>
      </x:c>
      <x:c r="H9" s="8" t="str"/>
      <x:c r="I9" s="8" t="str">
        <x:v>Unresolved</x:v>
      </x:c>
    </x:row>
    <x:row r="10" ht="62" customHeight="1">
      <x:c r="A10" s="8" t="str">
        <x:v>RISK-05</x:v>
      </x:c>
      <x:c r="B10" s="8" t="str">
        <x:v>Input burden exceeds benefit</x:v>
      </x:c>
      <x:c r="C10" s="8" t="str">
        <x:v>Open</x:v>
      </x:c>
      <x:c r="D10" s="8" t="str">
        <x:v>Corrections take longer than baseline</x:v>
      </x:c>
      <x:c r="E10" s="8" t="str">
        <x:v>Measure all actor effort; redesign capture</x:v>
      </x:c>
      <x:c r="F10" s="8" t="str">
        <x:v>Product lead</x:v>
      </x:c>
      <x:c r="G10" s="8" t="str">
        <x:v>P08.01.03</x:v>
      </x:c>
      <x:c r="H10" s="8" t="str"/>
      <x:c r="I10" s="8" t="str">
        <x:v>Unresolved</x:v>
      </x:c>
    </x:row>
    <x:row r="11" ht="62" customHeight="1">
      <x:c r="A11" s="8" t="str">
        <x:v>RISK-06</x:v>
      </x:c>
      <x:c r="B11" s="8" t="str">
        <x:v>AI adds no incremental value</x:v>
      </x:c>
      <x:c r="C11" s="8" t="str">
        <x:v>Open</x:v>
      </x:c>
      <x:c r="D11" s="8" t="str">
        <x:v>No better correctness/effort net of cost</x:v>
      </x:c>
      <x:c r="E11" s="8" t="str">
        <x:v>Keep rules; remove unnecessary model step</x:v>
      </x:c>
      <x:c r="F11" s="8" t="str">
        <x:v>AI/evaluation lead</x:v>
      </x:c>
      <x:c r="G11" s="8" t="str">
        <x:v>P03.03.04</x:v>
      </x:c>
      <x:c r="H11" s="8" t="str"/>
      <x:c r="I11" s="8" t="str">
        <x:v>Unresolved</x:v>
      </x:c>
    </x:row>
    <x:row r="12" ht="62" customHeight="1">
      <x:c r="A12" s="8" t="str">
        <x:v>RISK-07</x:v>
      </x:c>
      <x:c r="B12" s="8" t="str">
        <x:v>Physical logistics dominates</x:v>
      </x:c>
      <x:c r="C12" s="8" t="str">
        <x:v>Open</x:v>
      </x:c>
      <x:c r="D12" s="8" t="str">
        <x:v>No safe capacity or processing destination</x:v>
      </x:c>
      <x:c r="E12" s="8" t="str">
        <x:v>Audit failures; a directory cannot create capacity</x:v>
      </x:c>
      <x:c r="F12" s="8" t="str">
        <x:v>Partner lead</x:v>
      </x:c>
      <x:c r="G12" s="8" t="str">
        <x:v>P06.02.02</x:v>
      </x:c>
      <x:c r="H12" s="8" t="str"/>
      <x:c r="I12" s="8" t="str">
        <x:v>Unresolved</x:v>
      </x:c>
    </x:row>
    <x:row r="13" ht="62" customHeight="1">
      <x:c r="A13" s="8" t="str">
        <x:v>RISK-08</x:v>
      </x:c>
      <x:c r="B13" s="8" t="str">
        <x:v>Impact overclaim/double counting</x:v>
      </x:c>
      <x:c r="C13" s="8" t="str">
        <x:v>Open</x:v>
      </x:c>
      <x:c r="D13" s="8" t="str">
        <x:v>Simulation shown as measured saving</x:v>
      </x:c>
      <x:c r="E13" s="8" t="str">
        <x:v>Separate stage, origin, verification and attribution</x:v>
      </x:c>
      <x:c r="F13" s="8" t="str">
        <x:v>Measurement lead</x:v>
      </x:c>
      <x:c r="G13" s="8" t="str">
        <x:v>P08.03.04</x:v>
      </x:c>
      <x:c r="H13" s="8" t="str"/>
      <x:c r="I13" s="8" t="str">
        <x:v>Unresolved</x:v>
      </x:c>
    </x:row>
    <x:row r="14" ht="62" customHeight="1">
      <x:c r="A14" s="8" t="str">
        <x:v>RISK-09</x:v>
      </x:c>
      <x:c r="B14" s="8" t="str">
        <x:v>Economics or payer unproven</x:v>
      </x:c>
      <x:c r="C14" s="8" t="str">
        <x:v>Open</x:v>
      </x:c>
      <x:c r="D14" s="8" t="str">
        <x:v>Support exceeds payer value</x:v>
      </x:c>
      <x:c r="E14" s="8" t="str">
        <x:v>Measure costs and real pricing response</x:v>
      </x:c>
      <x:c r="F14" s="8" t="str">
        <x:v>Product owner</x:v>
      </x:c>
      <x:c r="G14" s="8" t="str">
        <x:v>P08.02.04</x:v>
      </x:c>
      <x:c r="H14" s="8" t="str"/>
      <x:c r="I14" s="8" t="str">
        <x:v>Unresolved</x:v>
      </x:c>
    </x:row>
    <x:row r="15" ht="62" customHeight="1">
      <x:c r="A15" s="8" t="str">
        <x:v>RISK-10</x:v>
      </x:c>
      <x:c r="B15" s="8" t="str">
        <x:v>Context drift/false completion</x:v>
      </x:c>
      <x:c r="C15" s="8" t="str">
        <x:v>Open</x:v>
      </x:c>
      <x:c r="D15" s="8" t="str">
        <x:v>Missing evidence or duplicate live status</x:v>
      </x:c>
      <x:c r="E15" s="8" t="str">
        <x:v>Stable IDs, gates and session handoff</x:v>
      </x:c>
      <x:c r="F15" s="8" t="str">
        <x:v>Technical lead</x:v>
      </x:c>
      <x:c r="G15" s="8" t="str">
        <x:v>P00.03.03</x:v>
      </x:c>
      <x:c r="H15" s="8" t="str"/>
      <x:c r="I15" s="8" t="str">
        <x:v>Unresolved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1" workbookViewId="0">
      <x:pane ySplit="5" topLeftCell="A6" activePane="bottomLeft" state="frozen"/>
    </x:sheetView>
  </x:sheetViews>
  <x:sheetFormatPr defaultRowHeight="15"/>
  <x:cols>
    <x:col min="1" max="1" width="20" hidden="0" customWidth="1"/>
    <x:col min="2" max="2" width="13.75" hidden="0" customWidth="1"/>
    <x:col min="3" max="3" width="31.25" hidden="0" customWidth="1"/>
    <x:col min="4" max="4" width="37.5" hidden="0" customWidth="1"/>
    <x:col min="5" max="5" width="30" hidden="0" customWidth="1"/>
    <x:col min="6" max="6" width="41.25" hidden="0" customWidth="1"/>
    <x:col min="7" max="7" width="37.5" hidden="0" customWidth="1"/>
    <x:col min="8" max="8" width="15" hidden="0" customWidth="1"/>
    <x:col min="9" max="9" width="30" hidden="0" customWidth="1"/>
    <x:col min="10" max="10" width="37.5" hidden="0" customWidth="1"/>
  </x:cols>
  <x:sheetData>
    <x:row r="1" ht="26" customHeight="1">
      <x:c r="A1" s="3" t="str">
        <x:v>Session handoffs</x:v>
      </x:c>
      <x:c r="B1" s="2"/>
      <x:c r="C1" s="2"/>
      <x:c r="D1" s="2"/>
      <x:c r="E1" s="2"/>
      <x:c r="F1" s="2"/>
      <x:c r="G1" s="2"/>
      <x:c r="H1" s="2"/>
      <x:c r="I1" s="2"/>
      <x:c r="J1" s="2"/>
    </x:row>
    <x:row r="2">
      <x:c r="A2" s="2"/>
      <x:c r="B2" s="2"/>
      <x:c r="C2" s="2"/>
      <x:c r="D2" s="2"/>
      <x:c r="E2" s="2"/>
      <x:c r="F2" s="2"/>
      <x:c r="G2" s="2"/>
      <x:c r="H2" s="2"/>
      <x:c r="I2" s="2"/>
      <x:c r="J2" s="2"/>
    </x:row>
    <x:row r="3">
      <x:c r="A3" s="2"/>
      <x:c r="B3" s="2"/>
      <x:c r="C3" s="2"/>
      <x:c r="D3" s="2"/>
      <x:c r="E3" s="2"/>
      <x:c r="F3" s="2"/>
      <x:c r="G3" s="2"/>
      <x:c r="H3" s="2"/>
      <x:c r="I3" s="2"/>
      <x:c r="J3" s="2"/>
    </x:row>
    <x:row r="4">
      <x:c r="A4" s="2"/>
      <x:c r="B4" s="2"/>
      <x:c r="C4" s="2"/>
      <x:c r="D4" s="2"/>
      <x:c r="E4" s="2"/>
      <x:c r="F4" s="2"/>
      <x:c r="G4" s="2"/>
      <x:c r="H4" s="2"/>
      <x:c r="I4" s="2"/>
      <x:c r="J4" s="2"/>
    </x:row>
    <x:row r="5" ht="32" customHeight="1">
      <x:c r="A5" s="7" t="str">
        <x:v>Session ID</x:v>
      </x:c>
      <x:c r="B5" s="7" t="str">
        <x:v>Date (IST)</x:v>
      </x:c>
      <x:c r="C5" s="7" t="str">
        <x:v>Scope</x:v>
      </x:c>
      <x:c r="D5" s="7" t="str">
        <x:v>Units / artifacts</x:v>
      </x:c>
      <x:c r="E5" s="7" t="str">
        <x:v>Evidence</x:v>
      </x:c>
      <x:c r="F5" s="7" t="str">
        <x:v>Result</x:v>
      </x:c>
      <x:c r="G5" s="7" t="str">
        <x:v>Open blocker</x:v>
      </x:c>
      <x:c r="H5" s="7" t="str">
        <x:v>Next unit</x:v>
      </x:c>
      <x:c r="I5" s="7" t="str">
        <x:v>Decisions</x:v>
      </x:c>
      <x:c r="J5" s="7" t="str">
        <x:v>Usage note</x:v>
      </x:c>
    </x:row>
    <x:row r="6" ht="82" customHeight="1">
      <x:c r="A6" s="8" t="str">
        <x:v>S-2026-10-15-01</x:v>
      </x:c>
      <x:c r="B6" s="8" t="str">
        <x:v>2026-10-15</x:v>
      </x:c>
      <x:c r="C6" s="8" t="str">
        <x:v>Research and documentation only</x:v>
      </x:c>
      <x:c r="D6" s="8" t="str">
        <x:v>42 sources; blueprint + 156-unit plan</x:v>
      </x:c>
      <x:c r="E6" s="8" t="str">
        <x:v>Control room/source register</x:v>
      </x:c>
      <x:c r="F6" s="8" t="str">
        <x:v>Documentation prepared; implementation unverified</x:v>
      </x:c>
      <x:c r="G6" s="8" t="str">
        <x:v>Human review, access and scope decisions pending</x:v>
      </x:c>
      <x:c r="H6" s="8" t="str">
        <x:v>P00.01.01</x:v>
      </x:c>
      <x:c r="I6" s="8" t="str">
        <x:v>DEC-PLAT-001–020 as labeled</x:v>
      </x:c>
      <x:c r="J6" s="8" t="str">
        <x:v>Actual account budget unknown; bounded task packets</x:v>
      </x:c>
    </x:row>
    <x:row r="7">
      <x:c r="A7" s="2"/>
      <x:c r="B7" s="2"/>
      <x:c r="C7" s="2"/>
      <x:c r="D7" s="2"/>
      <x:c r="E7" s="2"/>
      <x:c r="F7" s="2"/>
      <x:c r="G7" s="2"/>
      <x:c r="H7" s="2"/>
      <x:c r="I7" s="2"/>
      <x:c r="J7" s="2"/>
    </x:row>
    <x:row r="8">
      <x:c r="A8" s="2"/>
      <x:c r="B8" s="2"/>
      <x:c r="C8" s="2"/>
      <x:c r="D8" s="2"/>
      <x:c r="E8" s="2"/>
      <x:c r="F8" s="2"/>
      <x:c r="G8" s="2"/>
      <x:c r="H8" s="2"/>
      <x:c r="I8" s="2"/>
      <x:c r="J8" s="2"/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1" workbookViewId="0"/>
  </x:sheetViews>
  <x:sheetFormatPr defaultRowHeight="15"/>
  <x:cols>
    <x:col min="1" max="1" width="19.3799991607666" hidden="0" customWidth="1"/>
    <x:col min="2" max="2" width="106.25" hidden="0" customWidth="1"/>
  </x:cols>
  <x:sheetData>
    <x:row r="1" ht="26" customHeight="1">
      <x:c r="A1" s="3" t="str">
        <x:v>How to keep this harness current</x:v>
      </x:c>
      <x:c r="B1" s="2"/>
      <x:c r="C1" s="2"/>
    </x:row>
    <x:row r="2">
      <x:c r="A2" s="2"/>
      <x:c r="B2" s="2"/>
      <x:c r="C2" s="2"/>
    </x:row>
    <x:row r="3">
      <x:c r="A3" s="2"/>
      <x:c r="B3" s="2"/>
      <x:c r="C3" s="2"/>
    </x:row>
    <x:row r="4">
      <x:c r="A4" s="2"/>
      <x:c r="B4" s="2"/>
      <x:c r="C4" s="2"/>
    </x:row>
    <x:row r="5" ht="32" customHeight="1">
      <x:c r="A5" s="7" t="str">
        <x:v>Topic</x:v>
      </x:c>
      <x:c r="B5" s="7" t="str">
        <x:v>Operating rule</x:v>
      </x:c>
      <x:c r="C5" s="2"/>
    </x:row>
    <x:row r="6" ht="36" customHeight="1">
      <x:c r="A6" s="2" t="str">
        <x:v>Authority</x:v>
      </x:c>
      <x:c r="B6" s="8" t="str">
        <x:v>Tasks is live status; Docs are narrative; local files are snapshots.</x:v>
      </x:c>
      <x:c r="C6" s="2"/>
    </x:row>
    <x:row r="7" ht="36" customHeight="1">
      <x:c r="A7" s="2" t="str">
        <x:v>Completion</x:v>
      </x:c>
      <x:c r="B7" s="8" t="str">
        <x:v>Set Complete + Done + evidence + reviewer + updated date. Dependencies must be Verified.</x:v>
      </x:c>
      <x:c r="C7" s="2"/>
    </x:row>
    <x:row r="8" ht="36" customHeight="1">
      <x:c r="A8" s="2" t="str">
        <x:v>Formula limit</x:v>
      </x:c>
      <x:c r="B8" s="8" t="str">
        <x:v>Use filters, not physical sorting. Dependencies must point to earlier unique IDs; missing/later IDs fail closed.</x:v>
      </x:c>
      <x:c r="C8" s="2"/>
    </x:row>
    <x:row r="9" ht="36" customHeight="1">
      <x:c r="A9" s="2" t="str">
        <x:v>Adding work</x:v>
      </x:c>
      <x:c r="B9" s="8" t="str">
        <x:v>Append unique IDs after prerequisites, copy formulas/validation, extend bounded ranges and update phase gates.</x:v>
      </x:c>
      <x:c r="C9" s="2"/>
    </x:row>
    <x:row r="10" ht="36" customHeight="1">
      <x:c r="A10" s="2" t="str">
        <x:v>No background sync</x:v>
      </x:c>
      <x:c r="B10" s="8" t="str">
        <x:v>No repository monitor, CI integration, agent scheduler or two-way Drive sync is implemented.</x:v>
      </x:c>
      <x:c r="C10" s="2"/>
    </x:row>
    <x:row r="11" ht="36" customHeight="1">
      <x:c r="A11" s="2" t="str">
        <x:v>Ownership</x:v>
      </x:c>
      <x:c r="B11" s="8" t="str">
        <x:v>Initial owners are roles. Assign actual people/agents before execution.</x:v>
      </x:c>
      <x:c r="C11" s="2"/>
    </x:row>
    <x:row r="12" ht="36" customHeight="1">
      <x:c r="A12" s="2" t="str">
        <x:v>Token allowance</x:v>
      </x:c>
      <x:c r="B12" s="8" t="str">
        <x:v>6,000 context tokens/unit is a planning input; actual output/tool/delegation usage varies.</x:v>
      </x:c>
      <x:c r="C12" s="2"/>
    </x:row>
    <x:row r="13" ht="36" customHeight="1">
      <x:c r="A13" s="2" t="str">
        <x:v>Evidence quality</x:v>
      </x:c>
      <x:c r="B13" s="8" t="str">
        <x:v>Formulas check presence/state, not truth, safety qualification or link accessibility.</x:v>
      </x:c>
      <x:c r="C13" s="2"/>
    </x:row>
    <x:row r="14" ht="36" customHeight="1">
      <x:c r="A14" s="2" t="str">
        <x:v>Scope</x:v>
      </x:c>
      <x:c r="B14" s="8" t="str">
        <x:v>Documentation only. Later code, deployment and physical effects require relevant direction.</x:v>
      </x:c>
      <x:c r="C14" s="2"/>
    </x:row>
    <x:row r="15" ht="36" customHeight="1">
      <x:c r="A15" s="2" t="str">
        <x:v>Review</x:v>
      </x:c>
      <x:c r="B15" s="8" t="str">
        <x:v>Critical auth/safety/data-loss review first, then maintainability, UX and missing checks.</x:v>
      </x:c>
      <x:c r="C15" s="2"/>
    </x:row>
    <x:row r="16" ht="36" customHeight="1">
      <x:c r="A16" s="2" t="str">
        <x:v>Recovery</x:v>
      </x:c>
      <x:c r="B16" s="8" t="str">
        <x:v>Back up before structural changes; preserve IDs, revisions, failed output and decisions.</x:v>
      </x:c>
      <x:c r="C16" s="2"/>
    </x:row>
    <x:row r="17" ht="36" customHeight="1">
      <x:c r="A17" s="2" t="str">
        <x:v>Source folder</x:v>
      </x:c>
      <x:c r="B17" s="8" t="str">
        <x:v>https://drive.google.com/drive/folders/1iTwjBm5FrwthFEzuTZ91D33sRSB4ft9v</x:v>
      </x:c>
      <x:c r="C17" s="2"/>
    </x:row>
    <x:row r="18">
      <x:c r="A18" s="2"/>
      <x:c r="B18" s="2"/>
      <x:c r="C18" s="2"/>
    </x:row>
  </x:sheetData>
  <x:pageMargins left="0.7" right="0.7" top="0.75" bottom="0.75" header="0.3" footer="0.3"/>
</x:worksheet>
</file>