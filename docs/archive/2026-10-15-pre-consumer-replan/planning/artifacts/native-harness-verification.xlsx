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asks" sheetId="2" r:id="rId6"/>
    <sheet state="visible" name="Decisions" sheetId="3" r:id="rId7"/>
    <sheet state="visible" name="Risks" sheetId="4" r:id="rId8"/>
    <sheet state="visible" name="Sessions" sheetId="5" r:id="rId9"/>
    <sheet state="visible" name="Guide" sheetId="6" r:id="rId10"/>
  </sheets>
  <definedNames>
    <definedName hidden="1" localSheetId="1" name="_xlnm._FilterDatabase">Tasks!$A$5:$V$161</definedName>
  </definedNames>
  <calcPr/>
</workbook>
</file>

<file path=xl/sharedStrings.xml><?xml version="1.0" encoding="utf-8"?>
<sst xmlns="http://schemas.openxmlformats.org/spreadsheetml/2006/main" count="2309" uniqueCount="1020">
  <si>
    <t>EcoLoop execution harness</t>
  </si>
  <si>
    <t>As of 15 October 2026 · Collaborative planning · No application implementation claimed</t>
  </si>
  <si>
    <t>Update Tasks inputs; phase progress counts leaf units and gates once.</t>
  </si>
  <si>
    <t>Phase</t>
  </si>
  <si>
    <t>Outcome</t>
  </si>
  <si>
    <t>Horizon</t>
  </si>
  <si>
    <t>Units</t>
  </si>
  <si>
    <t>Verified</t>
  </si>
  <si>
    <t>Progress</t>
  </si>
  <si>
    <t>In progress</t>
  </si>
  <si>
    <t>Dependency open</t>
  </si>
  <si>
    <t>Phase gate</t>
  </si>
  <si>
    <t>P00</t>
  </si>
  <si>
    <t>Planning and scope approval</t>
  </si>
  <si>
    <t>Planning</t>
  </si>
  <si>
    <t>P01</t>
  </si>
  <si>
    <t>Trusted foundation and contracts</t>
  </si>
  <si>
    <t>Demo</t>
  </si>
  <si>
    <t>P02</t>
  </si>
  <si>
    <t>Deterministic baseline and synthetic household flow</t>
  </si>
  <si>
    <t>P03</t>
  </si>
  <si>
    <t>Gemini intake and single-orchestrator household journey</t>
  </si>
  <si>
    <t>P04</t>
  </si>
  <si>
    <t>Google deployment and submission readiness</t>
  </si>
  <si>
    <t>P05</t>
  </si>
  <si>
    <t>Institutional kitchen extension</t>
  </si>
  <si>
    <t>Expansion</t>
  </si>
  <si>
    <t>P06</t>
  </si>
  <si>
    <t>Qualified recovery coordination</t>
  </si>
  <si>
    <t>P07</t>
  </si>
  <si>
    <t>Organics and processor evidence</t>
  </si>
  <si>
    <t>P08</t>
  </si>
  <si>
    <t>Permissioned pilot and operating model</t>
  </si>
  <si>
    <t>Pilot</t>
  </si>
  <si>
    <t>P09</t>
  </si>
  <si>
    <t>Repair reuse and material exchange discovery</t>
  </si>
  <si>
    <t>P10</t>
  </si>
  <si>
    <t>Energy and water modules discovery</t>
  </si>
  <si>
    <t>P11</t>
  </si>
  <si>
    <t>Ecosystem scale and commercial reliability</t>
  </si>
  <si>
    <t>Scale</t>
  </si>
  <si>
    <t>Total planned units</t>
  </si>
  <si>
    <t>Verified units</t>
  </si>
  <si>
    <t>Demo gate</t>
  </si>
  <si>
    <t>Blueprint folder</t>
  </si>
  <si>
    <t>https://drive.google.com/drive/folders/1mhYQLzTWc1uwqF9BkkkIy44y7R6GikpC</t>
  </si>
  <si>
    <t>Control room link</t>
  </si>
  <si>
    <t>Added after document publication</t>
  </si>
  <si>
    <t>Formula verification cannot establish that evidence is truthful; accountable review remains required.</t>
  </si>
  <si>
    <t>EcoLoop tasks — live completion and evidence</t>
  </si>
  <si>
    <t>Use filters; preserve row order. Checked boxes need evidence, reviewer, date and verified prerequisites.</t>
  </si>
  <si>
    <t>Initial state: proposed tasks only. Owner roles are placeholders; coding is not authorized by this documentation request.</t>
  </si>
  <si>
    <t>Unit ID</t>
  </si>
  <si>
    <t>Parent task</t>
  </si>
  <si>
    <t>Granular unit</t>
  </si>
  <si>
    <t>Owner</t>
  </si>
  <si>
    <t>Status</t>
  </si>
  <si>
    <t>Done</t>
  </si>
  <si>
    <t>Calculated result</t>
  </si>
  <si>
    <t>Evidence link</t>
  </si>
  <si>
    <t>Reviewer</t>
  </si>
  <si>
    <t>Updated (ISO)</t>
  </si>
  <si>
    <t>Prerequisite 1</t>
  </si>
  <si>
    <t>Prerequisite 2</t>
  </si>
  <si>
    <t>Prerequisite 3</t>
  </si>
  <si>
    <t>Dependency readiness</t>
  </si>
  <si>
    <t>Acceptance condition</t>
  </si>
  <si>
    <t>Expected evidence</t>
  </si>
  <si>
    <t>Estimate hours</t>
  </si>
  <si>
    <t>Context tokens</t>
  </si>
  <si>
    <t>Requirement / journey</t>
  </si>
  <si>
    <t>Blocker / notes</t>
  </si>
  <si>
    <t>P00.01.01</t>
  </si>
  <si>
    <t>P00.01 Product and evidence</t>
  </si>
  <si>
    <t>Review source inventory and conflicts</t>
  </si>
  <si>
    <t>Product owner</t>
  </si>
  <si>
    <t>Not started</t>
  </si>
  <si>
    <t/>
  </si>
  <si>
    <t>Coverage and contradiction register acknowledged; source gaps have owners</t>
  </si>
  <si>
    <t>Research inventory + product source review</t>
  </si>
  <si>
    <t>REQ-SCOPE-01</t>
  </si>
  <si>
    <t>Proposed work; implementation not authorized by this documentation request.</t>
  </si>
  <si>
    <t>P00.01.02</t>
  </si>
  <si>
    <t>Select initial actor and decision window</t>
  </si>
  <si>
    <t>Named cook/buyer, authority and before-cooking trigger documented</t>
  </si>
  <si>
    <t>Product strategy scope decision</t>
  </si>
  <si>
    <t>P00.01.03</t>
  </si>
  <si>
    <t>Approve one-lane demo boundary</t>
  </si>
  <si>
    <t>Household path chosen or alternative documented; other lanes staged</t>
  </si>
  <si>
    <t>Signed scope decision DEC-PLAT-001</t>
  </si>
  <si>
    <t>P00.01.04</t>
  </si>
  <si>
    <t>Define success and stop conditions</t>
  </si>
  <si>
    <t>Decision correctness, effort and zero unsafe actions defined before trial</t>
  </si>
  <si>
    <t>Pilot/benchmark acceptance record</t>
  </si>
  <si>
    <t>P00.02.01</t>
  </si>
  <si>
    <t>P00.02 Constraints and access</t>
  </si>
  <si>
    <t>Verify contest eligibility and deadline</t>
  </si>
  <si>
    <t>Technical lead</t>
  </si>
  <si>
    <t>Official terms, roster status and exact cutoff uncertainty recorded</t>
  </si>
  <si>
    <t>Official source URLs and eligibility note</t>
  </si>
  <si>
    <t>P00.02.02</t>
  </si>
  <si>
    <t>Inventory cloud and model access</t>
  </si>
  <si>
    <t>IAM, billing, region, quota and supported runtime verified without exposing secrets</t>
  </si>
  <si>
    <t>Redacted access checklist</t>
  </si>
  <si>
    <t>P00.02.03</t>
  </si>
  <si>
    <t>Review food policy and measurement assumptions</t>
  </si>
  <si>
    <t>Unsupported universal thresholds/cutoffs rejected; reviewer named</t>
  </si>
  <si>
    <t>Policy discrepancy register</t>
  </si>
  <si>
    <t>P00.02.04</t>
  </si>
  <si>
    <t>Approve privacy and partner boundaries</t>
  </si>
  <si>
    <t>Consent, public-repo data exclusion and simulated-only adapters specified</t>
  </si>
  <si>
    <t>Privacy/partner decision record</t>
  </si>
  <si>
    <t>P00.03.01</t>
  </si>
  <si>
    <t>P00.03 Execution setup</t>
  </si>
  <si>
    <t>Review HLD and LLD against scope</t>
  </si>
  <si>
    <t>Auth, versions, approvals, idempotency and failure contracts agreed</t>
  </si>
  <si>
    <t>Technical design review</t>
  </si>
  <si>
    <t>P00.03.02</t>
  </si>
  <si>
    <t>Assign owners and estimates</t>
  </si>
  <si>
    <t>Named owner, reviewer and effort for first executable work packet</t>
  </si>
  <si>
    <t>Updated tracker rows</t>
  </si>
  <si>
    <t>P00.03.03</t>
  </si>
  <si>
    <t>Exercise harness status and recovery</t>
  </si>
  <si>
    <t>Checkbox alone cannot verify; dependencies and evidence gates recalculate</t>
  </si>
  <si>
    <t>Harness verification record</t>
  </si>
  <si>
    <t>P00.03.04</t>
  </si>
  <si>
    <t>Authorize implementation phase</t>
  </si>
  <si>
    <t>Human authorizes coding scope; document-only restriction explicitly lifted</t>
  </si>
  <si>
    <t>Authorization record</t>
  </si>
  <si>
    <t>P00.90.01</t>
  </si>
  <si>
    <t>P00.90 Phase gate</t>
  </si>
  <si>
    <t>Review and accept planning and scope approval</t>
  </si>
  <si>
    <t>Product owner + independent reviewer</t>
  </si>
  <si>
    <t>All prerequisites verified; critical risks closed or explicitly rejected for rollout; human records go/revise/stop decision.</t>
  </si>
  <si>
    <t>Phase gate record with reviewer, evidence links, residual risks and next scope</t>
  </si>
  <si>
    <t>P00-GATE</t>
  </si>
  <si>
    <t>Unchecked until phase evidence is reviewed. A written plan is not implementation evidence.</t>
  </si>
  <si>
    <t>P01.01.01</t>
  </si>
  <si>
    <t>P01.01 Identity and permissions</t>
  </si>
  <si>
    <t>Define membership and permission matrix</t>
  </si>
  <si>
    <t>Backend engineer</t>
  </si>
  <si>
    <t>Each protected operation maps actor, tenant and permission</t>
  </si>
  <si>
    <t>Auth contract REQ-AUTH-01</t>
  </si>
  <si>
    <t>REQ-AUTH-01 / REQ-FACT-01</t>
  </si>
  <si>
    <t>P01.01.02</t>
  </si>
  <si>
    <t>Implement verified identity boundary</t>
  </si>
  <si>
    <t>Missing/invalid token rejected; tenant never defaults</t>
  </si>
  <si>
    <t>Auth check evidence</t>
  </si>
  <si>
    <t>P01.01.03</t>
  </si>
  <si>
    <t>Implement current membership and revocation checks</t>
  </si>
  <si>
    <t>Revoked membership fails even with a still-valid token</t>
  </si>
  <si>
    <t>Revocation and wrong-tenant evidence</t>
  </si>
  <si>
    <t>P01.01.04</t>
  </si>
  <si>
    <t>Prove denial across roles and tenants</t>
  </si>
  <si>
    <t>Read/write isolation and guessed IDs tested</t>
  </si>
  <si>
    <t>Negative authorization matrix</t>
  </si>
  <si>
    <t>P01.02.01</t>
  </si>
  <si>
    <t>P01.02 Canonical records</t>
  </si>
  <si>
    <t>Define typed records and units</t>
  </si>
  <si>
    <t>Candidate, fact, proposal, evidence, outcome schemas include version and provenance</t>
  </si>
  <si>
    <t>Schema review</t>
  </si>
  <si>
    <t>P01.02.02</t>
  </si>
  <si>
    <t>Define tenant paths and server-only writes</t>
  </si>
  <si>
    <t>No global list or browser mutation bypass; server IAM assessed</t>
  </si>
  <si>
    <t>Firestore access design</t>
  </si>
  <si>
    <t>P01.02.03</t>
  </si>
  <si>
    <t>Implement atomic versioned confirmation</t>
  </si>
  <si>
    <t>Stale version causes conflict; repeat submission does not duplicate facts</t>
  </si>
  <si>
    <t>Confirmation conflict evidence</t>
  </si>
  <si>
    <t>P01.02.04</t>
  </si>
  <si>
    <t>Prove durable audit and restart behavior</t>
  </si>
  <si>
    <t>Business state survives restart; sensitive content excluded from logs</t>
  </si>
  <si>
    <t>Persistence and redaction evidence</t>
  </si>
  <si>
    <t>P01.03.01</t>
  </si>
  <si>
    <t>P01.03 Runtime foundation</t>
  </si>
  <si>
    <t>Confirm supported frontend and Node pairing</t>
  </si>
  <si>
    <t>Platform engineer</t>
  </si>
  <si>
    <t>App Hosting compatibility verified for actual pinned versions</t>
  </si>
  <si>
    <t>Runtime matrix</t>
  </si>
  <si>
    <t>P01.03.02</t>
  </si>
  <si>
    <t>Configure authenticated API client and origins</t>
  </si>
  <si>
    <t>Environment URL used; production origins explicit; localhost not shipped</t>
  </si>
  <si>
    <t>Client/CORS evidence</t>
  </si>
  <si>
    <t>P01.03.03</t>
  </si>
  <si>
    <t>Create health and deployment contract</t>
  </si>
  <si>
    <t>Root health path stable; PORT and startup behavior documented</t>
  </si>
  <si>
    <t>Health/deployment smoke evidence</t>
  </si>
  <si>
    <t>P01.03.04</t>
  </si>
  <si>
    <t>Set budgets and model call caps</t>
  </si>
  <si>
    <t>Quota, maximum attempts/tokens and alerts have owners</t>
  </si>
  <si>
    <t>Budget configuration evidence</t>
  </si>
  <si>
    <t>P01.90.01</t>
  </si>
  <si>
    <t>P01.90 Phase gate</t>
  </si>
  <si>
    <t>Review and accept trusted foundation and contracts</t>
  </si>
  <si>
    <t>P01-GATE</t>
  </si>
  <si>
    <t>P02.01.01</t>
  </si>
  <si>
    <t>P02.01 Decision rules</t>
  </si>
  <si>
    <t>Specify pantry and meal change fixtures</t>
  </si>
  <si>
    <t>Stock freshness, ownership, units and consumed quantities explicit</t>
  </si>
  <si>
    <t>Fixture definitions</t>
  </si>
  <si>
    <t>J-H01 / REQ-ACT-01</t>
  </si>
  <si>
    <t>P02.01.02</t>
  </si>
  <si>
    <t>Implement unit-safe quantity reconciliation</t>
  </si>
  <si>
    <t>No g/ml conversion without verified factor; no negative stock</t>
  </si>
  <si>
    <t>Boundary-case outputs</t>
  </si>
  <si>
    <t>P02.01.03</t>
  </si>
  <si>
    <t>Implement portion and cutoff rules</t>
  </si>
  <si>
    <t>Zero diners and after-cutoff behavior deterministic and explained</t>
  </si>
  <si>
    <t>Rule-case outputs</t>
  </si>
  <si>
    <t>P02.01.04</t>
  </si>
  <si>
    <t>Implement immutable simulated proposal</t>
  </si>
  <si>
    <t>Snapshot versions, expiry and preview hash stored; simulated true</t>
  </si>
  <si>
    <t>Proposal contract evidence</t>
  </si>
  <si>
    <t>P02.02.01</t>
  </si>
  <si>
    <t>P02.02 Evaluation baseline</t>
  </si>
  <si>
    <t>Annotate household gold cases</t>
  </si>
  <si>
    <t>Evaluation reviewer</t>
  </si>
  <si>
    <t>Labels and rejection reasons independently reviewed</t>
  </si>
  <si>
    <t>Gold-case register</t>
  </si>
  <si>
    <t>P02.02.02</t>
  </si>
  <si>
    <t>Run rules-only baseline</t>
  </si>
  <si>
    <t>Fixed input fixtures and privileges; raw results retained</t>
  </si>
  <si>
    <t>Baseline run ID</t>
  </si>
  <si>
    <t>P02.02.03</t>
  </si>
  <si>
    <t>Add adversarial and concurrency assertions</t>
  </si>
  <si>
    <t>Injected text, stale facts and approval races covered</t>
  </si>
  <si>
    <t>Negative-case results</t>
  </si>
  <si>
    <t>P02.02.04</t>
  </si>
  <si>
    <t>Define fair comparison protocol</t>
  </si>
  <si>
    <t>Equivalent inputs, model budget and reporting denominator frozen</t>
  </si>
  <si>
    <t>Evaluation protocol</t>
  </si>
  <si>
    <t>P02.03.01</t>
  </si>
  <si>
    <t>P02.03 Human workflow</t>
  </si>
  <si>
    <t>Build synthetic scenario start and actor view</t>
  </si>
  <si>
    <t>Frontend engineer</t>
  </si>
  <si>
    <t>Demo tenant and simulated records conspicuous</t>
  </si>
  <si>
    <t>Scenario screen evidence</t>
  </si>
  <si>
    <t>P02.03.02</t>
  </si>
  <si>
    <t>Build candidate/fact review interaction</t>
  </si>
  <si>
    <t>Field changes explicit; confirm distinct from extraction</t>
  </si>
  <si>
    <t>Review-flow evidence</t>
  </si>
  <si>
    <t>P02.03.03</t>
  </si>
  <si>
    <t>Build proposal preview and approval interaction</t>
  </si>
  <si>
    <t>Actor sees quantities, uncertainty, expiry and simulation before approving</t>
  </si>
  <si>
    <t>Approval UX evidence</t>
  </si>
  <si>
    <t>P02.03.04</t>
  </si>
  <si>
    <t>Build honest outcome journal states</t>
  </si>
  <si>
    <t>Measured, simulated and unknown separated; loading/empty/error/retry shown</t>
  </si>
  <si>
    <t>Outcome state screenshots</t>
  </si>
  <si>
    <t>P02.90.01</t>
  </si>
  <si>
    <t>P02.90 Phase gate</t>
  </si>
  <si>
    <t>Review and accept deterministic baseline and synthetic household flow</t>
  </si>
  <si>
    <t>P02-GATE</t>
  </si>
  <si>
    <t>P03.01.01</t>
  </si>
  <si>
    <t>P03.01 Structured intake</t>
  </si>
  <si>
    <t>Verify allowed Vertex model and extraction schema</t>
  </si>
  <si>
    <t>AI engineer</t>
  </si>
  <si>
    <t>Actual model ID/region recorded; parse output constrained</t>
  </si>
  <si>
    <t>Model access and schema evidence</t>
  </si>
  <si>
    <t>P03.01.02</t>
  </si>
  <si>
    <t>Implement text intake and optional image upload</t>
  </si>
  <si>
    <t>Content type/size/consent validated; optional modality can be cut</t>
  </si>
  <si>
    <t>Upload/input evidence</t>
  </si>
  <si>
    <t>P03.01.03</t>
  </si>
  <si>
    <t>Enforce candidate isolation and uncertainty</t>
  </si>
  <si>
    <t>AI output never writes canonical facts; missing values remain unknown</t>
  </si>
  <si>
    <t>Isolation evidence</t>
  </si>
  <si>
    <t>P03.01.04</t>
  </si>
  <si>
    <t>Verify injection and malformed-output fallback</t>
  </si>
  <si>
    <t>Receipt instructions ignored; bounded retry then human correction</t>
  </si>
  <si>
    <t>Extraction adversarial results</t>
  </si>
  <si>
    <t>P03.02.01</t>
  </si>
  <si>
    <t>P03.02 Agent orchestration</t>
  </si>
  <si>
    <t>Define minimal allowlisted tool contracts</t>
  </si>
  <si>
    <t>Tools receive scoped resource IDs and checked permissions</t>
  </si>
  <si>
    <t>Tool registry review</t>
  </si>
  <si>
    <t>P03.02.02</t>
  </si>
  <si>
    <t>Implement bounded orchestrator run</t>
  </si>
  <si>
    <t>Maximum turns/cost/deadline; no self-authorized execution</t>
  </si>
  <si>
    <t>Trace with termination evidence</t>
  </si>
  <si>
    <t>P03.02.03</t>
  </si>
  <si>
    <t>Bind approval to versioned proposal</t>
  </si>
  <si>
    <t>Expiry, current membership, hash and facts rechecked on approval</t>
  </si>
  <si>
    <t>Stale/revoked approval evidence</t>
  </si>
  <si>
    <t>P03.02.04</t>
  </si>
  <si>
    <t>Make approval retries idempotent</t>
  </si>
  <si>
    <t>Duplicate concurrent request yields one simulated execution</t>
  </si>
  <si>
    <t>Concurrency run evidence</t>
  </si>
  <si>
    <t>P03.03.01</t>
  </si>
  <si>
    <t>P03.03 Golden flow integration</t>
  </si>
  <si>
    <t>Connect text to review to changed meal</t>
  </si>
  <si>
    <t>Fullstack engineer</t>
  </si>
  <si>
    <t>Real Gemini response goes through explicit human confirmation</t>
  </si>
  <si>
    <t>J-H01 trace</t>
  </si>
  <si>
    <t>P03.03.02</t>
  </si>
  <si>
    <t>Connect proposal to mock action to evidence</t>
  </si>
  <si>
    <t>No real checkout or dispatch; visible simulated outcome</t>
  </si>
  <si>
    <t>J-H01 full-flow recording</t>
  </si>
  <si>
    <t>P03.03.03</t>
  </si>
  <si>
    <t>Handle connectivity and cancellation</t>
  </si>
  <si>
    <t>Resume from persisted state; ambiguous action state reconciled</t>
  </si>
  <si>
    <t>Recovery-flow evidence</t>
  </si>
  <si>
    <t>P03.03.04</t>
  </si>
  <si>
    <t>Compare against rules and plain Gemini</t>
  </si>
  <si>
    <t>Correctness/unsafe actions/latency/effort reported with run IDs</t>
  </si>
  <si>
    <t>Paired benchmark results</t>
  </si>
  <si>
    <t>P03.90.01</t>
  </si>
  <si>
    <t>P03.90 Phase gate</t>
  </si>
  <si>
    <t>Review and accept gemini intake and single-orchestrator household journey</t>
  </si>
  <si>
    <t>P03-GATE</t>
  </si>
  <si>
    <t>P04.01.01</t>
  </si>
  <si>
    <t>P04.01 Deploy core</t>
  </si>
  <si>
    <t>Prepare App Hosting and Cloud Run manifests</t>
  </si>
  <si>
    <t>Pinned runtime, secrets references and service identities reviewed</t>
  </si>
  <si>
    <t>Deployment config review</t>
  </si>
  <si>
    <t>REQ-DEPLOY-01</t>
  </si>
  <si>
    <t>P04.01.02</t>
  </si>
  <si>
    <t>Deploy isolated demo environment</t>
  </si>
  <si>
    <t>Public app URL and secured backend reachable; no real private data</t>
  </si>
  <si>
    <t>Deployment URLs and revision IDs</t>
  </si>
  <si>
    <t>P04.01.03</t>
  </si>
  <si>
    <t>Verify cross-service authentication and health</t>
  </si>
  <si>
    <t>Anonymous mutation and foreign tenant access fail on deployed system</t>
  </si>
  <si>
    <t>Deployed negative checks</t>
  </si>
  <si>
    <t>P04.01.04</t>
  </si>
  <si>
    <t>Prove rollback and degraded mode</t>
  </si>
  <si>
    <t>Prior revision recoverable; model outage visibly handled</t>
  </si>
  <si>
    <t>Rollback/degraded evidence</t>
  </si>
  <si>
    <t>P04.02.01</t>
  </si>
  <si>
    <t>P04.02 Release checks</t>
  </si>
  <si>
    <t>Verify end-to-end mobile flow</t>
  </si>
  <si>
    <t>360px flow, keyboard focus, labels, 44px targets and all states reviewed</t>
  </si>
  <si>
    <t>Browser evidence</t>
  </si>
  <si>
    <t>P04.02.02</t>
  </si>
  <si>
    <t>Record actual performance and cost</t>
  </si>
  <si>
    <t>P50/P95, model tokens, errors and cold-start caveat measured</t>
  </si>
  <si>
    <t>Run-specific metrics</t>
  </si>
  <si>
    <t>P04.02.03</t>
  </si>
  <si>
    <t>Audit public repo and demo claims</t>
  </si>
  <si>
    <t>Secrets, real data, unsupported impact and third-party rights reviewed</t>
  </si>
  <si>
    <t>Release review record</t>
  </si>
  <si>
    <t>P04.02.04</t>
  </si>
  <si>
    <t>Review all critical failures</t>
  </si>
  <si>
    <t>No unowned critical auth/safety/data-loss failure accepted</t>
  </si>
  <si>
    <t>Critical issue disposition</t>
  </si>
  <si>
    <t>P04.03.01</t>
  </si>
  <si>
    <t>P04.03 Submission assets</t>
  </si>
  <si>
    <t>Prepare final proposal document and deck content</t>
  </si>
  <si>
    <t>Problem, Google AI role, evidence and limitations align with working demo</t>
  </si>
  <si>
    <t>Proposal/PDF artifact</t>
  </si>
  <si>
    <t>P04.03.02</t>
  </si>
  <si>
    <t>Record strictly under-three-minute demo</t>
  </si>
  <si>
    <t>Public access checked; live behavior and simulations identified</t>
  </si>
  <si>
    <t>Final video link/duration</t>
  </si>
  <si>
    <t>P04.03.03</t>
  </si>
  <si>
    <t>Validate submission packet and eligibility</t>
  </si>
  <si>
    <t>Repository, URL, deck, video, track and roster checked against live terms</t>
  </si>
  <si>
    <t>Submission checklist</t>
  </si>
  <si>
    <t>P04.03.04</t>
  </si>
  <si>
    <t>Submit and retain receipt</t>
  </si>
  <si>
    <t>Authorized human submits before confirmed cutoff; receipt retained</t>
  </si>
  <si>
    <t>Submission confirmation</t>
  </si>
  <si>
    <t>P04.90.01</t>
  </si>
  <si>
    <t>P04.90 Phase gate</t>
  </si>
  <si>
    <t>Review and accept google deployment and submission readiness</t>
  </si>
  <si>
    <t>P04-GATE</t>
  </si>
  <si>
    <t>P05.01.01</t>
  </si>
  <si>
    <t>P05.01 Roster and preparation authority</t>
  </si>
  <si>
    <t>Map kitchen roles and source authority</t>
  </si>
  <si>
    <t>Product/backend team</t>
  </si>
  <si>
    <t>Headcount reporter cannot override chef/menu policy</t>
  </si>
  <si>
    <t>J-K01 role map</t>
  </si>
  <si>
    <t>J-K01</t>
  </si>
  <si>
    <t>P05.01.02</t>
  </si>
  <si>
    <t>Model per-batch last reversible point</t>
  </si>
  <si>
    <t>Chef-specified timestamp/timezone/version; no universal 45-minute rule</t>
  </si>
  <si>
    <t>Batch/cutoff contract</t>
  </si>
  <si>
    <t>P05.01.03</t>
  </si>
  <si>
    <t>Capture and confirm attendance exceptions</t>
  </si>
  <si>
    <t>Changes record source, effective date and approved diners</t>
  </si>
  <si>
    <t>Roster change evidence</t>
  </si>
  <si>
    <t>P05.01.04</t>
  </si>
  <si>
    <t>Reject late and conflicting adjustments</t>
  </si>
  <si>
    <t>Already-started/closed batch yields hold or new human decision</t>
  </si>
  <si>
    <t>Cutoff/concurrency cases</t>
  </si>
  <si>
    <t>P05.02.01</t>
  </si>
  <si>
    <t>P05.02 Chef and measurements</t>
  </si>
  <si>
    <t>Review dietary and nutrition constraints</t>
  </si>
  <si>
    <t>Kitchen partner lead</t>
  </si>
  <si>
    <t>Qualified operator owns approved menu and substitutions</t>
  </si>
  <si>
    <t>Operator-reviewed policy</t>
  </si>
  <si>
    <t>P05.02.02</t>
  </si>
  <si>
    <t>Implement chef approval of batch changes</t>
  </si>
  <si>
    <t>Arithmetic deterministic; prep change requires authorized chef</t>
  </si>
  <si>
    <t>Chef approval trace</t>
  </si>
  <si>
    <t>P05.02.03</t>
  </si>
  <si>
    <t>Separate preparation unserved and plate weights</t>
  </si>
  <si>
    <t>Scale/time/tare/category metadata recorded distinctly</t>
  </si>
  <si>
    <t>Stage measurement records</t>
  </si>
  <si>
    <t>P05.02.04</t>
  </si>
  <si>
    <t>Reconcile planned versus actual served meals</t>
  </si>
  <si>
    <t>Denominator actual served; unknown data not inferred</t>
  </si>
  <si>
    <t>Kitchen outcome calculation</t>
  </si>
  <si>
    <t>P05.03.01</t>
  </si>
  <si>
    <t>P05.03 Kitchen validation</t>
  </si>
  <si>
    <t>Annotate K-lane failure cases</t>
  </si>
  <si>
    <t>Late event, diet mismatch, role escalation and double count covered</t>
  </si>
  <si>
    <t>K gold cases</t>
  </si>
  <si>
    <t>P05.03.02</t>
  </si>
  <si>
    <t>Compare against simple headcount and batch rules</t>
  </si>
  <si>
    <t>Equivalent roster and cutoff inputs used across arms</t>
  </si>
  <si>
    <t>K comparative run</t>
  </si>
  <si>
    <t>P05.03.03</t>
  </si>
  <si>
    <t>Pilot with authorized kitchen</t>
  </si>
  <si>
    <t>Site consent, workload and food-service oversight recorded</t>
  </si>
  <si>
    <t>Pilot protocol and permission</t>
  </si>
  <si>
    <t>P05.03.04</t>
  </si>
  <si>
    <t>Choose continue revise or stop</t>
  </si>
  <si>
    <t>Observed effort/correctness supports explicit decision</t>
  </si>
  <si>
    <t>Kitchen gate report</t>
  </si>
  <si>
    <t>P05.90.01</t>
  </si>
  <si>
    <t>P05.90 Phase gate</t>
  </si>
  <si>
    <t>Review and accept institutional kitchen extension</t>
  </si>
  <si>
    <t>P05-GATE</t>
  </si>
  <si>
    <t>P06.01.01</t>
  </si>
  <si>
    <t>P06.01 Policy and donor eligibility</t>
  </si>
  <si>
    <t>Obtain qualified policy review</t>
  </si>
  <si>
    <t>Safety/partner lead</t>
  </si>
  <si>
    <t>Jurisdiction, category, source version and effective dates recorded</t>
  </si>
  <si>
    <t>Policy sign-off</t>
  </si>
  <si>
    <t>J-R01 / REQ-POL-01</t>
  </si>
  <si>
    <t>P06.01.02</t>
  </si>
  <si>
    <t>Implement donor evidence completeness</t>
  </si>
  <si>
    <t>Unused/unserved status, custody and required handling records explicit</t>
  </si>
  <si>
    <t>FoodOffer schema/evidence</t>
  </si>
  <si>
    <t>P06.01.03</t>
  </si>
  <si>
    <t>Block excluded or unreviewed offers</t>
  </si>
  <si>
    <t>Plate/spoiled food rejected; unknown state held for review</t>
  </si>
  <si>
    <t>R negative cases</t>
  </si>
  <si>
    <t>P06.01.04</t>
  </si>
  <si>
    <t>Require human eligibility decision</t>
  </si>
  <si>
    <t>Reviewer identity and policy version persisted; AI cannot certify</t>
  </si>
  <si>
    <t>Qualified review record</t>
  </si>
  <si>
    <t>P06.02.01</t>
  </si>
  <si>
    <t>P06.02 Capacity and agreements</t>
  </si>
  <si>
    <t>Verify NGO and recipient organizations</t>
  </si>
  <si>
    <t>Partner operations lead</t>
  </si>
  <si>
    <t>Permissions, handling capability and contact consent documented</t>
  </si>
  <si>
    <t>Partner onboarding evidence</t>
  </si>
  <si>
    <t>P06.02.02</t>
  </si>
  <si>
    <t>Record separate NGO and recipient acceptance</t>
  </si>
  <si>
    <t>Capacity, diet, window and transport confirmed independently</t>
  </si>
  <si>
    <t>Acceptance records</t>
  </si>
  <si>
    <t>P06.02.03</t>
  </si>
  <si>
    <t>Create scoped cross-tenant offer projection</t>
  </si>
  <si>
    <t>Only approved fields shared; no donor inventory disclosure</t>
  </si>
  <si>
    <t>Sharing security review</t>
  </si>
  <si>
    <t>P06.02.04</t>
  </si>
  <si>
    <t>Reserve capacity and revalidate at approval</t>
  </si>
  <si>
    <t>Expiry, cancellation and concurrent claims prevent double dispatch</t>
  </si>
  <si>
    <t>Reservation race evidence</t>
  </si>
  <si>
    <t>P06.03.01</t>
  </si>
  <si>
    <t>P06.03 Custody and exception handling</t>
  </si>
  <si>
    <t>Record pickup delivery and accepted mass</t>
  </si>
  <si>
    <t>Signed actor/time/evidence at each custody change</t>
  </si>
  <si>
    <t>Custody ledger</t>
  </si>
  <si>
    <t>P06.03.02</t>
  </si>
  <si>
    <t>Handle partial rejection and failed delivery</t>
  </si>
  <si>
    <t>No automatic reroute; accountable human chooses permitted disposition</t>
  </si>
  <si>
    <t>Exception walkthrough</t>
  </si>
  <si>
    <t>P06.03.03</t>
  </si>
  <si>
    <t>Implement withdrawal and incident escalation</t>
  </si>
  <si>
    <t>Revoked offers cannot dispatch; incidents linked to affected batches</t>
  </si>
  <si>
    <t>Recall/escalation evidence</t>
  </si>
  <si>
    <t>P06.03.04</t>
  </si>
  <si>
    <t>Run simulation before any live pilot</t>
  </si>
  <si>
    <t>R-lane red-team cases pass and physical partner authorization explicit</t>
  </si>
  <si>
    <t>Recovery pilot readiness report</t>
  </si>
  <si>
    <t>P06.90.01</t>
  </si>
  <si>
    <t>P06.90 Phase gate</t>
  </si>
  <si>
    <t>Review and accept qualified recovery coordination</t>
  </si>
  <si>
    <t>P06-GATE</t>
  </si>
  <si>
    <t>P07.01.01</t>
  </si>
  <si>
    <t>P07.01 Accepted loads</t>
  </si>
  <si>
    <t>Verify local operator and accepted-material rules</t>
  </si>
  <si>
    <t>Processor partner lead</t>
  </si>
  <si>
    <t>Operator authorization and exclusions documented per site</t>
  </si>
  <si>
    <t>Operator/policy record</t>
  </si>
  <si>
    <t>J-O01 / REQ-IMPACT-01</t>
  </si>
  <si>
    <t>P07.01.02</t>
  </si>
  <si>
    <t>Capture segregated source load</t>
  </si>
  <si>
    <t>Origin, category, quantity and contaminated fraction explicit</t>
  </si>
  <si>
    <t>J-O01 load record</t>
  </si>
  <si>
    <t>P07.01.03</t>
  </si>
  <si>
    <t>Record calibrated gross tare and net weights</t>
  </si>
  <si>
    <t>Units, scale, timestamp and operator attestation preserved</t>
  </si>
  <si>
    <t>Weigh ticket</t>
  </si>
  <si>
    <t>P07.01.04</t>
  </si>
  <si>
    <t>Reject contaminated or unauthorized collection</t>
  </si>
  <si>
    <t>No assumed composting route for every organic material</t>
  </si>
  <si>
    <t>Load rejection evidence</t>
  </si>
  <si>
    <t>P07.02.01</t>
  </si>
  <si>
    <t>P07.02 Processing chain</t>
  </si>
  <si>
    <t>Record collected accepted rejected and processed stages</t>
  </si>
  <si>
    <t>Backend/operations team</t>
  </si>
  <si>
    <t>Each stage separate; pickup never treated as processing</t>
  </si>
  <si>
    <t>Stage ledger</t>
  </si>
  <si>
    <t>P07.02.02</t>
  </si>
  <si>
    <t>Support partial acceptance and transfer reconciliation</t>
  </si>
  <si>
    <t>No duplicate mass across operator and collector views</t>
  </si>
  <si>
    <t>Partial-load cases</t>
  </si>
  <si>
    <t>P07.02.03</t>
  </si>
  <si>
    <t>Record process outputs moisture and unresolved residual</t>
  </si>
  <si>
    <t>Boundary/time basis explicit; no naive wet-to-dry equality</t>
  </si>
  <si>
    <t>Mass-balance analysis</t>
  </si>
  <si>
    <t>P07.02.04</t>
  </si>
  <si>
    <t>Attach auditable processor receipt</t>
  </si>
  <si>
    <t>Source/evidence identity and dispute state visible</t>
  </si>
  <si>
    <t>Processing evidence</t>
  </si>
  <si>
    <t>P07.03.01</t>
  </si>
  <si>
    <t>P07.03 Circularity validation</t>
  </si>
  <si>
    <t>Define counterfactual before diversion claims</t>
  </si>
  <si>
    <t>Destination alternatives and evidence requirements recorded</t>
  </si>
  <si>
    <t>Measurement protocol</t>
  </si>
  <si>
    <t>P07.03.02</t>
  </si>
  <si>
    <t>Test receipt extraction against human entry</t>
  </si>
  <si>
    <t>AI benefit measured on multilingual/inconsistent documents</t>
  </si>
  <si>
    <t>O-lane comparison</t>
  </si>
  <si>
    <t>P07.03.03</t>
  </si>
  <si>
    <t>Run authorized operator pilot</t>
  </si>
  <si>
    <t>Collection cost, reject rate and missing receipts measured</t>
  </si>
  <si>
    <t>Pilot dataset</t>
  </si>
  <si>
    <t>P07.03.04</t>
  </si>
  <si>
    <t>Approve only substantiated reporting</t>
  </si>
  <si>
    <t>Collected/processed/estimated/unknown labels remain separate</t>
  </si>
  <si>
    <t>Outcome claims review</t>
  </si>
  <si>
    <t>P07.90.01</t>
  </si>
  <si>
    <t>P07.90 Phase gate</t>
  </si>
  <si>
    <t>Review and accept organics and processor evidence</t>
  </si>
  <si>
    <t>P07-GATE</t>
  </si>
  <si>
    <t>P08.01.01</t>
  </si>
  <si>
    <t>P08.01 Pilot design</t>
  </si>
  <si>
    <t>Recruit consenting decision owners</t>
  </si>
  <si>
    <t>Research lead</t>
  </si>
  <si>
    <t>Voluntary participants; withdrawal and data use explained</t>
  </si>
  <si>
    <t>Consent record</t>
  </si>
  <si>
    <t>REQ-PILOT-01</t>
  </si>
  <si>
    <t>P08.01.02</t>
  </si>
  <si>
    <t>Collect baseline without retrospective invention</t>
  </si>
  <si>
    <t>Physical measurements and effort logged with missingness</t>
  </si>
  <si>
    <t>Baseline dataset</t>
  </si>
  <si>
    <t>P08.01.03</t>
  </si>
  <si>
    <t>Run comparison with predeclared measures</t>
  </si>
  <si>
    <t>Comparable periods/arms; seasonality and attrition recorded</t>
  </si>
  <si>
    <t>Pilot protocol/results</t>
  </si>
  <si>
    <t>P08.01.04</t>
  </si>
  <si>
    <t>Interview failures and non-users</t>
  </si>
  <si>
    <t>Logistics, habit and input burden investigated</t>
  </si>
  <si>
    <t>Interview synthesis</t>
  </si>
  <si>
    <t>P08.02.01</t>
  </si>
  <si>
    <t>P08.02 Economics and pricing</t>
  </si>
  <si>
    <t>Measure support and model cost per completed decision</t>
  </si>
  <si>
    <t>Failed calls/retries/operator minutes included</t>
  </si>
  <si>
    <t>Cost worksheet</t>
  </si>
  <si>
    <t>P08.02.02</t>
  </si>
  <si>
    <t>Test payer and willingness-to-pay hypothesis</t>
  </si>
  <si>
    <t>Buyer and beneficiary distinguished; no invented commitments</t>
  </si>
  <si>
    <t>Pricing interview evidence</t>
  </si>
  <si>
    <t>P08.02.03</t>
  </si>
  <si>
    <t>Calculate scenario unit economics</t>
  </si>
  <si>
    <t>Compute/storage/support/verification/partner costs explicit</t>
  </si>
  <si>
    <t>Sensitivity model</t>
  </si>
  <si>
    <t>P08.02.04</t>
  </si>
  <si>
    <t>Decide viable segment and expansion budget</t>
  </si>
  <si>
    <t>Evidence supports target segment or stop/pivot</t>
  </si>
  <si>
    <t>Commercial decision</t>
  </si>
  <si>
    <t>P08.03.01</t>
  </si>
  <si>
    <t>P08.03 Operational trust</t>
  </si>
  <si>
    <t>Assign incident and data-rights owners</t>
  </si>
  <si>
    <t>Operations lead</t>
  </si>
  <si>
    <t>On-call routes, deletion exceptions and escalation time defined</t>
  </si>
  <si>
    <t>Operations runbook</t>
  </si>
  <si>
    <t>P08.03.02</t>
  </si>
  <si>
    <t>Validate retention revocation and deletion</t>
  </si>
  <si>
    <t>Derived records and media affected; audit legal hold scoped</t>
  </si>
  <si>
    <t>Data lifecycle evidence</t>
  </si>
  <si>
    <t>P08.03.03</t>
  </si>
  <si>
    <t>Review fairness and accessibility</t>
  </si>
  <si>
    <t>Low-connectivity/language constraints and exclusion harms assessed</t>
  </si>
  <si>
    <t>Accessibility/equity findings</t>
  </si>
  <si>
    <t>P08.03.04</t>
  </si>
  <si>
    <t>Publish measured pilot limits</t>
  </si>
  <si>
    <t>Claims preserve sample/time/geography and counterfactual uncertainty</t>
  </si>
  <si>
    <t>Pilot report</t>
  </si>
  <si>
    <t>P08.90.01</t>
  </si>
  <si>
    <t>P08.90 Phase gate</t>
  </si>
  <si>
    <t>Review and accept permissioned pilot and operating model</t>
  </si>
  <si>
    <t>P08-GATE</t>
  </si>
  <si>
    <t>P09.01.01</t>
  </si>
  <si>
    <t>P09.01 Asset lifecycle</t>
  </si>
  <si>
    <t>Choose a single repair or reuse category</t>
  </si>
  <si>
    <t>Product/domain lead</t>
  </si>
  <si>
    <t>Hazard, ownership and service capability fit recorded</t>
  </si>
  <si>
    <t>J-U01 scope decision</t>
  </si>
  <si>
    <t>J-U01</t>
  </si>
  <si>
    <t>P09.01.02</t>
  </si>
  <si>
    <t>Model condition evidence and ownership rights</t>
  </si>
  <si>
    <t>Photo is evidence, not authenticity/safety certification</t>
  </si>
  <si>
    <t>Asset contract</t>
  </si>
  <si>
    <t>P09.01.03</t>
  </si>
  <si>
    <t>Draft repair-first options and human choice</t>
  </si>
  <si>
    <t>AI summarizes issue; technician owns diagnosis</t>
  </si>
  <si>
    <t>Repair journey review</t>
  </si>
  <si>
    <t>P09.01.04</t>
  </si>
  <si>
    <t>Capture completed repair or transfer outcome</t>
  </si>
  <si>
    <t>Acceptance and actual service evidence required</t>
  </si>
  <si>
    <t>Outcome record</t>
  </si>
  <si>
    <t>P09.02.01</t>
  </si>
  <si>
    <t>P09.02 Service marketplace</t>
  </si>
  <si>
    <t>Verify repair and reuse partners</t>
  </si>
  <si>
    <t>Partner lead</t>
  </si>
  <si>
    <t>Geography, accepted items, credentials and liability agreed</t>
  </si>
  <si>
    <t>Partner records</t>
  </si>
  <si>
    <t>P09.02.02</t>
  </si>
  <si>
    <t>Define availability matching and explicit fees</t>
  </si>
  <si>
    <t>Availability consented; no unapproved purchase</t>
  </si>
  <si>
    <t>Matching/quote contract</t>
  </si>
  <si>
    <t>P09.02.03</t>
  </si>
  <si>
    <t>Handle refusal dispute and return</t>
  </si>
  <si>
    <t>Custody, ownership and responsibility transitions explicit</t>
  </si>
  <si>
    <t>Exception blueprint</t>
  </si>
  <si>
    <t>P09.02.04</t>
  </si>
  <si>
    <t>Protect private location and contact data</t>
  </si>
  <si>
    <t>Share minimum only after consent and match approval</t>
  </si>
  <si>
    <t>Sharing audit</t>
  </si>
  <si>
    <t>P09.03.01</t>
  </si>
  <si>
    <t>P09.03 Module validation</t>
  </si>
  <si>
    <t>Build category-specific rule and AI baselines</t>
  </si>
  <si>
    <t>Same diagnosis evidence; no autonomous unsafe repair advice</t>
  </si>
  <si>
    <t>U evaluation protocol</t>
  </si>
  <si>
    <t>P09.03.02</t>
  </si>
  <si>
    <t>Test identity fraud and prohibited material cases</t>
  </si>
  <si>
    <t>Unsafe/hazardous/ownership-unclear listings blocked</t>
  </si>
  <si>
    <t>Negative cases</t>
  </si>
  <si>
    <t>P09.03.03</t>
  </si>
  <si>
    <t>Pilot with one authorized partner</t>
  </si>
  <si>
    <t>Repair success, time/cost and follow-through measured</t>
  </si>
  <si>
    <t>Pilot results</t>
  </si>
  <si>
    <t>P09.03.04</t>
  </si>
  <si>
    <t>Gate broader materials exchange</t>
  </si>
  <si>
    <t>Repeat demand and viable trust costs demonstrated</t>
  </si>
  <si>
    <t>Reuse expansion decision</t>
  </si>
  <si>
    <t>P09.90.01</t>
  </si>
  <si>
    <t>P09.90 Phase gate</t>
  </si>
  <si>
    <t>Review and accept repair reuse and material exchange discovery</t>
  </si>
  <si>
    <t>P09-GATE</t>
  </si>
  <si>
    <t>P10.01.01</t>
  </si>
  <si>
    <t>P10.01 Energy decisions</t>
  </si>
  <si>
    <t>Identify consenting site and actionable decision</t>
  </si>
  <si>
    <t>Energy domain lead</t>
  </si>
  <si>
    <t>Bill review or schedule advisory selected; no device control</t>
  </si>
  <si>
    <t>J-E01 scope</t>
  </si>
  <si>
    <t>J-E01 / J-W01</t>
  </si>
  <si>
    <t>P10.01.02</t>
  </si>
  <si>
    <t>Verify meter bill and tariff data rights</t>
  </si>
  <si>
    <t>Units, periods, calibration and legitimate access documented</t>
  </si>
  <si>
    <t>Energy data contract</t>
  </si>
  <si>
    <t>P10.01.03</t>
  </si>
  <si>
    <t>Build deterministic normalized baseline</t>
  </si>
  <si>
    <t>Weather/occupancy/period effects considered; uncertainty explicit</t>
  </si>
  <si>
    <t>Baseline method</t>
  </si>
  <si>
    <t>P10.01.04</t>
  </si>
  <si>
    <t>Evaluate advisory with human authorization</t>
  </si>
  <si>
    <t>Measured kWh and comfort/service constraints retained</t>
  </si>
  <si>
    <t>Energy validation results</t>
  </si>
  <si>
    <t>P10.02.01</t>
  </si>
  <si>
    <t>P10.02 Water decisions</t>
  </si>
  <si>
    <t>Choose metered conservation or leak workflow</t>
  </si>
  <si>
    <t>Water domain lead</t>
  </si>
  <si>
    <t>Site authority, response operator and measurement boundary set</t>
  </si>
  <si>
    <t>J-W01 scope</t>
  </si>
  <si>
    <t>P10.02.02</t>
  </si>
  <si>
    <t>Validate volume time and sensor reliability</t>
  </si>
  <si>
    <t>Missing/offline sensors shown; no invented meter readings</t>
  </si>
  <si>
    <t>Water data contract</t>
  </si>
  <si>
    <t>P10.02.03</t>
  </si>
  <si>
    <t>Design human-reviewed anomaly workflow</t>
  </si>
  <si>
    <t>AI explains reports; qualified person authorizes intervention</t>
  </si>
  <si>
    <t>Water journey walkthrough</t>
  </si>
  <si>
    <t>P10.02.04</t>
  </si>
  <si>
    <t>Compare against thresholds and existing systems</t>
  </si>
  <si>
    <t>Actual liters and effort evaluated against baseline</t>
  </si>
  <si>
    <t>Water comparative results</t>
  </si>
  <si>
    <t>P10.03.01</t>
  </si>
  <si>
    <t>P10.03 Cross-domain accounting</t>
  </si>
  <si>
    <t>Separate resource units and causal claims</t>
  </si>
  <si>
    <t>Measurement lead</t>
  </si>
  <si>
    <t>kg, kWh and liters never summed into invented eco-score</t>
  </si>
  <si>
    <t>Metrics contract</t>
  </si>
  <si>
    <t>P10.03.02</t>
  </si>
  <si>
    <t>Review emissions factors and boundaries</t>
  </si>
  <si>
    <t>Food/location/time/disposal factors only if justified and versioned</t>
  </si>
  <si>
    <t>Factor review</t>
  </si>
  <si>
    <t>P10.03.03</t>
  </si>
  <si>
    <t>Measure platform compute and transport burden</t>
  </si>
  <si>
    <t>Report available metrics and explicit unknowns; no net-zero claim</t>
  </si>
  <si>
    <t>Burden register</t>
  </si>
  <si>
    <t>P10.03.04</t>
  </si>
  <si>
    <t>Authorize next domain only with evidence</t>
  </si>
  <si>
    <t>Actor access, measurable effect and viable operations required</t>
  </si>
  <si>
    <t>Domain expansion gate</t>
  </si>
  <si>
    <t>P10.90.01</t>
  </si>
  <si>
    <t>P10.90 Phase gate</t>
  </si>
  <si>
    <t>Review and accept energy and water modules discovery</t>
  </si>
  <si>
    <t>P10-GATE</t>
  </si>
  <si>
    <t>P11.01.01</t>
  </si>
  <si>
    <t>P11.01 Federation and interoperability</t>
  </si>
  <si>
    <t>Define interoperable partner capability registry</t>
  </si>
  <si>
    <t>Permissions and availability separate from self-asserted badges</t>
  </si>
  <si>
    <t>Partner API contract</t>
  </si>
  <si>
    <t>J-T01 / REQ-SCALE-01</t>
  </si>
  <si>
    <t>P11.01.02</t>
  </si>
  <si>
    <t>Version adapters and data sharing agreements</t>
  </si>
  <si>
    <t>Schema compatibility, consent and revocation behaviors tested</t>
  </si>
  <si>
    <t>Adapter conformance report</t>
  </si>
  <si>
    <t>P11.01.03</t>
  </si>
  <si>
    <t>Add durable notifications and reconciliation</t>
  </si>
  <si>
    <t>Outbox, dedupe, retries and delivery status explicit</t>
  </si>
  <si>
    <t>Delivery/replay evidence</t>
  </si>
  <si>
    <t>P11.01.04</t>
  </si>
  <si>
    <t>Verify federation without tenant leakage</t>
  </si>
  <si>
    <t>Per-offer grants, scoped projections and revocation tested</t>
  </si>
  <si>
    <t>Cross-organization security report</t>
  </si>
  <si>
    <t>P11.02.01</t>
  </si>
  <si>
    <t>P11.02 Reliability and security</t>
  </si>
  <si>
    <t>Measure load then set SLOs and capacity</t>
  </si>
  <si>
    <t>Platform/security lead</t>
  </si>
  <si>
    <t>P95/availability/error budgets grounded in pilot load</t>
  </si>
  <si>
    <t>Capacity/SLO report</t>
  </si>
  <si>
    <t>P11.02.02</t>
  </si>
  <si>
    <t>Exercise backups restore and disaster recovery</t>
  </si>
  <si>
    <t>Recovery points/times measured with owned runbooks</t>
  </si>
  <si>
    <t>Restore drill</t>
  </si>
  <si>
    <t>P11.02.03</t>
  </si>
  <si>
    <t>Perform abuse and data protection review</t>
  </si>
  <si>
    <t>Rate limits, malicious uploads, privilege abuse and retention audited</t>
  </si>
  <si>
    <t>Security findings disposition</t>
  </si>
  <si>
    <t>P11.02.04</t>
  </si>
  <si>
    <t>Reconcile spend with outcomes and incidents</t>
  </si>
  <si>
    <t>Per-tenant cost limits and operational owners established</t>
  </si>
  <si>
    <t>Operations dashboard evidence</t>
  </si>
  <si>
    <t>P11.03.01</t>
  </si>
  <si>
    <t>P11.03 Business rollout</t>
  </si>
  <si>
    <t>Validate network density in one geography</t>
  </si>
  <si>
    <t>Product/operations lead</t>
  </si>
  <si>
    <t>Match availability, acceptance and completion measured</t>
  </si>
  <si>
    <t>Network cohort analysis</t>
  </si>
  <si>
    <t>P11.03.02</t>
  </si>
  <si>
    <t>Pilot contracts pricing and support SLA</t>
  </si>
  <si>
    <t>Operator incentives and liability terms approved</t>
  </si>
  <si>
    <t>Commercial pilot agreement</t>
  </si>
  <si>
    <t>P11.03.03</t>
  </si>
  <si>
    <t>Gate incentives against fraud and coercion</t>
  </si>
  <si>
    <t>No reward for generated surplus or fabricated impact</t>
  </si>
  <si>
    <t>Incentive abuse review</t>
  </si>
  <si>
    <t>P11.03.04</t>
  </si>
  <si>
    <t>Approve phased expansion or stop</t>
  </si>
  <si>
    <t>Retention, trust, measured outcomes and margin support decision</t>
  </si>
  <si>
    <t>Scale investment decision</t>
  </si>
  <si>
    <t>P11.90.01</t>
  </si>
  <si>
    <t>P11.90 Phase gate</t>
  </si>
  <si>
    <t>Review and accept ecosystem scale and commercial reliability</t>
  </si>
  <si>
    <t>P11-GATE</t>
  </si>
  <si>
    <t>Decisions and tradeoffs</t>
  </si>
  <si>
    <t>Proposed / recommended is not human approval. Record evidence, approver and date when resolved.</t>
  </si>
  <si>
    <t>Decision ID</t>
  </si>
  <si>
    <t>Choice</t>
  </si>
  <si>
    <t>Disposition</t>
  </si>
  <si>
    <t>Recommendation</t>
  </si>
  <si>
    <t>Alternatives</t>
  </si>
  <si>
    <t>Reason</t>
  </si>
  <si>
    <t>Owner role</t>
  </si>
  <si>
    <t>Linked unit</t>
  </si>
  <si>
    <t>Revisit trigger</t>
  </si>
  <si>
    <t>Evidence</t>
  </si>
  <si>
    <t>Approver</t>
  </si>
  <si>
    <t>Decision date</t>
  </si>
  <si>
    <t>DEC-PLAT-001</t>
  </si>
  <si>
    <t>First implementation lane</t>
  </si>
  <si>
    <t>Proposed</t>
  </si>
  <si>
    <t>One household changed-plan journey; switch to kitchen first only with better actor/data access</t>
  </si>
  <si>
    <t>Three full lanes at once; generic material marketplace</t>
  </si>
  <si>
    <t>Small enough to prove the shared loop; competition and residual gap still unknown</t>
  </si>
  <si>
    <t>Observed actor access and residual pain change the preferred lane</t>
  </si>
  <si>
    <t>DEC-PLAT-002</t>
  </si>
  <si>
    <t>Platform expansion</t>
  </si>
  <si>
    <t>Shared trust/evidence/action core with separately gated domain modules</t>
  </si>
  <si>
    <t>One universal resource engine; separate disconnected apps</t>
  </si>
  <si>
    <t>Reuse coordination contracts without conflating food safety, repair and meter authority</t>
  </si>
  <si>
    <t>Product owner + technical lead</t>
  </si>
  <si>
    <t>Second domain cannot reuse core safely or does not show demand</t>
  </si>
  <si>
    <t>DEC-PLAT-003</t>
  </si>
  <si>
    <t>Backend structure</t>
  </si>
  <si>
    <t>Recommended</t>
  </si>
  <si>
    <t>Modular FastAPI monolith and bounded worker when required</t>
  </si>
  <si>
    <t>Microservices from day one; frontend-only logic</t>
  </si>
  <si>
    <t>Fewer transaction and deployment seams while preserving domain boundaries</t>
  </si>
  <si>
    <t>Measured scaling, security ownership or release independence justifies split</t>
  </si>
  <si>
    <t>DEC-PLAT-004</t>
  </si>
  <si>
    <t>Runtime compatibility</t>
  </si>
  <si>
    <t>Open</t>
  </si>
  <si>
    <t>Verify current Next.js/Node support on App Hosting before pinning deployment pair</t>
  </si>
  <si>
    <t>Assume repo version works; automatically downgrade</t>
  </si>
  <si>
    <t>Existing package version and retrieved support schedule differ; no deploy proof</t>
  </si>
  <si>
    <t>Platform lead</t>
  </si>
  <si>
    <t>Official support or a measured deployed compatibility test settles pair</t>
  </si>
  <si>
    <t>DEC-PLAT-005</t>
  </si>
  <si>
    <t>Canonical storage</t>
  </si>
  <si>
    <t>Existing stack constraint</t>
  </si>
  <si>
    <t>Firestore versioned document state and Cloud Storage media; reevaluate relational needs later</t>
  </si>
  <si>
    <t>PostgreSQL now; in-memory canonical state</t>
  </si>
  <si>
    <t>Fits selected stack and bounded workflows; cross-org joins need careful projections</t>
  </si>
  <si>
    <t>Transaction contention or reporting constraints dominate</t>
  </si>
  <si>
    <t>DEC-PLAT-006</t>
  </si>
  <si>
    <t>Authorization</t>
  </si>
  <si>
    <t>Required invariant</t>
  </si>
  <si>
    <t>Verified identity plus active membership, role, consent and resource scope; fail closed</t>
  </si>
  <si>
    <t>Trust body tenant ID; default tenant; token-only organization membership</t>
  </si>
  <si>
    <t>Prevent cross-tenant reads and stale authority after revocation</t>
  </si>
  <si>
    <t>Security/backend lead</t>
  </si>
  <si>
    <t>No relaxation; improve implementation with equivalent or stronger proof</t>
  </si>
  <si>
    <t>DEC-PLAT-007</t>
  </si>
  <si>
    <t>Facts and approvals</t>
  </si>
  <si>
    <t>Candidate isolation; explicit confirmation; immutable version-bound preview and authorized approval</t>
  </si>
  <si>
    <t>Agent writes facts or self-authorizes execution</t>
  </si>
  <si>
    <t>Human authority and current source state govern every physical effect</t>
  </si>
  <si>
    <t>No relaxation; contract changes require migration and denial checks</t>
  </si>
  <si>
    <t>DEC-PLAT-008</t>
  </si>
  <si>
    <t>Food policy</t>
  </si>
  <si>
    <t>Reviewed category/site policy bundles; missing applicability holds for review</t>
  </si>
  <si>
    <t>Universal hardcoded time/temperature thresholds from examples</t>
  </si>
  <si>
    <t>Current local shortcuts are not established by cited rule text</t>
  </si>
  <si>
    <t>Qualified policy owner</t>
  </si>
  <si>
    <t>Reviewed official amendment or site policy updates versioned bundle</t>
  </si>
  <si>
    <t>DEC-PLAT-009</t>
  </si>
  <si>
    <t>AI structure</t>
  </si>
  <si>
    <t>Structured extraction and one bounded allowlisted ADK coordinator, evaluated separately</t>
  </si>
  <si>
    <t>Multi-agent product runtime; unlimited tool loop; rules-only forever</t>
  </si>
  <si>
    <t>AI may help ambiguity; arithmetic and authority stay deterministic</t>
  </si>
  <si>
    <t>AI lead</t>
  </si>
  <si>
    <t>Comparison shows a step adds no benefit or a justified workflow needs more</t>
  </si>
  <si>
    <t>DEC-PLAT-010</t>
  </si>
  <si>
    <t>Policy retrieval</t>
  </si>
  <si>
    <t>Deferred</t>
  </si>
  <si>
    <t>Small reviewed rule table and source links first</t>
  </si>
  <si>
    <t>Vertex AI Search/RAG immediately</t>
  </si>
  <si>
    <t>Corpus size and retrieval need are unproven; retrieved prose cannot publish policy</t>
  </si>
  <si>
    <t>Policy/AI lead</t>
  </si>
  <si>
    <t>Authorized corpus and real questions show retrieval improves the task</t>
  </si>
  <si>
    <t>DEC-PLAT-011</t>
  </si>
  <si>
    <t>Jobs and external actions</t>
  </si>
  <si>
    <t>Outbox plus idempotent worker for durable effects; reconcile ambiguous provider states</t>
  </si>
  <si>
    <t>Provider call inside transaction; blind retry after timeout</t>
  </si>
  <si>
    <t>Transactions can retry and networks duplicate or hide successful effects</t>
  </si>
  <si>
    <t>Backend lead</t>
  </si>
  <si>
    <t>A synchronous bounded demo needs no durable external work; keep effect boundary</t>
  </si>
  <si>
    <t>DEC-PLAT-012</t>
  </si>
  <si>
    <t>Product real-time behavior</t>
  </si>
  <si>
    <t>Bounded polling with versions initially; scoped events only after measured need</t>
  </si>
  <si>
    <t>Persistent streams everywhere; unscoped global listeners</t>
  </si>
  <si>
    <t>Recoverable and easier to secure; acknowledgement and timestamps matter first</t>
  </si>
  <si>
    <t>Fullstack lead</t>
  </si>
  <si>
    <t>Collaboration latency/read costs justify streams</t>
  </si>
  <si>
    <t>DEC-PLAT-013</t>
  </si>
  <si>
    <t>Execution harness authority</t>
  </si>
  <si>
    <t>Google Sheet is live task status; Docs are narrative; local JSON/Markdown are dated snapshots</t>
  </si>
  <si>
    <t>Dual live status in repo and Drive; autonomous two-way sync now</t>
  </si>
  <si>
    <t>Native collaboration works now without product code; avoids conflicting checklists</t>
  </si>
  <si>
    <t>Product/technical lead</t>
  </si>
  <si>
    <t>Team needs repo-owned CI status and authorizes a synchronization tool</t>
  </si>
  <si>
    <t>DEC-PLAT-014</t>
  </si>
  <si>
    <t>Measurement and incentives</t>
  </si>
  <si>
    <t>Stage-specific physical metrics and explicit status; no unexplained eco-score or carbon credit</t>
  </si>
  <si>
    <t>Automatically convert every action into CO2/water saved; reward waste volume</t>
  </si>
  <si>
    <t>Prevents double counting and perverse incentives; attribution needs a counterfactual</t>
  </si>
  <si>
    <t>Reviewed factor methodology allows separately labeled scenarios</t>
  </si>
  <si>
    <t>DEC-PLAT-015</t>
  </si>
  <si>
    <t>Partner integration and marketplace</t>
  </si>
  <si>
    <t>Simulated adapters; later permissioned local network before public marketplace</t>
  </si>
  <si>
    <t>Live checkout/dispatch from advertised MCP; open marketplace immediately</t>
  </si>
  <si>
    <t>Provider existence does not grant access, capacity or transaction authority</t>
  </si>
  <si>
    <t>Rights, operational capacity, human approval and retry safeguards verified</t>
  </si>
  <si>
    <t>DEC-PLAT-016</t>
  </si>
  <si>
    <t>Token and session budget</t>
  </si>
  <si>
    <t>One granular task/context packet; checkpoints and recorded actual usage</t>
  </si>
  <si>
    <t>Whole corpus every turn; assume agents reduce token cost</t>
  </si>
  <si>
    <t>Bounded context improves continuity; account allowance is unknown and variable</t>
  </si>
  <si>
    <t>Observed task size/usage supports smaller or larger packet</t>
  </si>
  <si>
    <t>DEC-PLAT-017</t>
  </si>
  <si>
    <t>Software factory workflow</t>
  </si>
  <si>
    <t>Role cards, task packets, two-pass review and evidence gates as documentation first</t>
  </si>
  <si>
    <t>Install many overlapping skills/hooks before workflow is exercised</t>
  </si>
  <si>
    <t>Deterministic enforcement should be added only for repeat failures with a measurable benefit</t>
  </si>
  <si>
    <t>Repeated drift justifies a small approved skill or validator</t>
  </si>
  <si>
    <t>DEC-PLAT-018</t>
  </si>
  <si>
    <t>API prefix and health</t>
  </si>
  <si>
    <t>One /v1 API prefix and root /health; explicitly migrate current /api/v1 client</t>
  </si>
  <si>
    <t>Keep two unowned prefixes; assume health probes match</t>
  </si>
  <si>
    <t>Spec and starter differ; a single documented contract prevents integration drift</t>
  </si>
  <si>
    <t>Existing consumers require a temporary documented alias</t>
  </si>
  <si>
    <t>DEC-PLAT-019</t>
  </si>
  <si>
    <t>Evaluation coverage</t>
  </si>
  <si>
    <t>Audit seed cases and add selected-lane coverage; distinguish case count from independent trials</t>
  </si>
  <si>
    <t>Call 23 seeds a complete benchmark; claim all planned cases passed</t>
  </si>
  <si>
    <t>Historical 23 versus 12–20/lane targets are proposals with different coverage</t>
  </si>
  <si>
    <t>Evaluation lead</t>
  </si>
  <si>
    <t>Risk-based coverage requires additional scenario families</t>
  </si>
  <si>
    <t>DEC-PLAT-020</t>
  </si>
  <si>
    <t>Current work authorization</t>
  </si>
  <si>
    <t>User constraint</t>
  </si>
  <si>
    <t>Documentation/research and live planning artifacts only; implementation requires later direction</t>
  </si>
  <si>
    <t>Treat this request as permission to modify application code or deploy</t>
  </si>
  <si>
    <t>User explicitly requested ideation, tradeoffs and feasibility with no code changes</t>
  </si>
  <si>
    <t>User explicitly authorizes implementation scope</t>
  </si>
  <si>
    <t>Risks and next evidence</t>
  </si>
  <si>
    <t>Risk ID</t>
  </si>
  <si>
    <t>Risk</t>
  </si>
  <si>
    <t>State</t>
  </si>
  <si>
    <t>Trigger</t>
  </si>
  <si>
    <t>Response / next evidence</t>
  </si>
  <si>
    <t>Evidence / update</t>
  </si>
  <si>
    <t>RISK-01</t>
  </si>
  <si>
    <t>Residual pain unproven</t>
  </si>
  <si>
    <t>Existing list/service handles chosen cases</t>
  </si>
  <si>
    <t>Reconstruct real episodes and compare baseline</t>
  </si>
  <si>
    <t>Unresolved</t>
  </si>
  <si>
    <t>RISK-02</t>
  </si>
  <si>
    <t>Data rights or authority unavailable</t>
  </si>
  <si>
    <t>No consenting source/decision owner</t>
  </si>
  <si>
    <t>Obtain artifact rights or defer feature</t>
  </si>
  <si>
    <t>RISK-03</t>
  </si>
  <si>
    <t>Unsafe policy shortcut</t>
  </si>
  <si>
    <t>Unreviewed threshold or food-safety claim</t>
  </si>
  <si>
    <t>Block live recovery; qualified policy review</t>
  </si>
  <si>
    <t>Policy owner</t>
  </si>
  <si>
    <t>RISK-04</t>
  </si>
  <si>
    <t>Deployment or model access blocked</t>
  </si>
  <si>
    <t>Unsupported runtime/IAM/quota</t>
  </si>
  <si>
    <t>Verify early and cut optional scope</t>
  </si>
  <si>
    <t>RISK-05</t>
  </si>
  <si>
    <t>Input burden exceeds benefit</t>
  </si>
  <si>
    <t>Corrections take longer than baseline</t>
  </si>
  <si>
    <t>Measure all actor effort; redesign capture</t>
  </si>
  <si>
    <t>Product lead</t>
  </si>
  <si>
    <t>RISK-06</t>
  </si>
  <si>
    <t>AI adds no incremental value</t>
  </si>
  <si>
    <t>No better correctness/effort net of cost</t>
  </si>
  <si>
    <t>Keep rules; remove unnecessary model step</t>
  </si>
  <si>
    <t>AI/evaluation lead</t>
  </si>
  <si>
    <t>RISK-07</t>
  </si>
  <si>
    <t>Physical logistics dominates</t>
  </si>
  <si>
    <t>No safe capacity or processing destination</t>
  </si>
  <si>
    <t>Audit failures; a directory cannot create capacity</t>
  </si>
  <si>
    <t>RISK-08</t>
  </si>
  <si>
    <t>Impact overclaim/double counting</t>
  </si>
  <si>
    <t>Simulation shown as measured saving</t>
  </si>
  <si>
    <t>Separate stage, origin, verification and attribution</t>
  </si>
  <si>
    <t>RISK-09</t>
  </si>
  <si>
    <t>Economics or payer unproven</t>
  </si>
  <si>
    <t>Support exceeds payer value</t>
  </si>
  <si>
    <t>Measure costs and real pricing response</t>
  </si>
  <si>
    <t>RISK-10</t>
  </si>
  <si>
    <t>Context drift/false completion</t>
  </si>
  <si>
    <t>Missing evidence or duplicate live status</t>
  </si>
  <si>
    <t>Stable IDs, gates and session handoff</t>
  </si>
  <si>
    <t>Session handoffs</t>
  </si>
  <si>
    <t>Session ID</t>
  </si>
  <si>
    <t>Date (IST)</t>
  </si>
  <si>
    <t>Scope</t>
  </si>
  <si>
    <t>Units / artifacts</t>
  </si>
  <si>
    <t>Result</t>
  </si>
  <si>
    <t>Open blocker</t>
  </si>
  <si>
    <t>Next unit</t>
  </si>
  <si>
    <t>Decisions</t>
  </si>
  <si>
    <t>Usage note</t>
  </si>
  <si>
    <t>S-2026-10-15-01</t>
  </si>
  <si>
    <t>2026-10-15</t>
  </si>
  <si>
    <t>Research and documentation only</t>
  </si>
  <si>
    <t>42 sources; blueprint + 156-unit plan</t>
  </si>
  <si>
    <t>Control room/source register</t>
  </si>
  <si>
    <t>Documentation prepared; implementation unverified</t>
  </si>
  <si>
    <t>Human review, access and scope decisions pending</t>
  </si>
  <si>
    <t>DEC-PLAT-001–020 as labeled</t>
  </si>
  <si>
    <t>Actual account budget unknown; bounded task packets</t>
  </si>
  <si>
    <t>How to keep this harness current</t>
  </si>
  <si>
    <t>Topic</t>
  </si>
  <si>
    <t>Operating rule</t>
  </si>
  <si>
    <t>Authority</t>
  </si>
  <si>
    <t>Tasks is live status; Docs are narrative; local files are snapshots.</t>
  </si>
  <si>
    <t>Completion</t>
  </si>
  <si>
    <t>Set Complete + Done + evidence + reviewer + updated date. Dependencies must be Verified.</t>
  </si>
  <si>
    <t>Formula limit</t>
  </si>
  <si>
    <t>Use filters, not physical sorting. Dependencies must point to earlier unique IDs; missing/later IDs fail closed.</t>
  </si>
  <si>
    <t>Adding work</t>
  </si>
  <si>
    <t>Append unique IDs after prerequisites, copy formulas/validation, extend bounded ranges and update phase gates.</t>
  </si>
  <si>
    <t>No background sync</t>
  </si>
  <si>
    <t>No repository monitor, CI integration, agent scheduler or two-way Drive sync is implemented.</t>
  </si>
  <si>
    <t>Ownership</t>
  </si>
  <si>
    <t>Initial owners are roles. Assign actual people/agents before execution.</t>
  </si>
  <si>
    <t>Token allowance</t>
  </si>
  <si>
    <t>6,000 context tokens/unit is a planning input; actual output/tool/delegation usage varies.</t>
  </si>
  <si>
    <t>Evidence quality</t>
  </si>
  <si>
    <t>Formulas check presence/state, not truth, safety qualification or link accessibility.</t>
  </si>
  <si>
    <t>Documentation only. Later code, deployment and physical effects require relevant direction.</t>
  </si>
  <si>
    <t>Review</t>
  </si>
  <si>
    <t>Critical auth/safety/data-loss review first, then maintainability, UX and missing checks.</t>
  </si>
  <si>
    <t>Recovery</t>
  </si>
  <si>
    <t>Back up before structural changes; preserve IDs, revisions, failed output and decisions.</t>
  </si>
  <si>
    <t>Source folder</t>
  </si>
  <si>
    <t>https://drive.google.com/drive/folders/1iTwjBm5FrwthFEzuTZ91D33sRSB4ft9v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</si>
</sst>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4.0"/>
      <color rgb="FF111111"/>
      <name val="Arial"/>
    </font>
    <font>
      <sz val="10.0"/>
      <color rgb="FF111111"/>
      <name val="Arial"/>
    </font>
    <font>
      <b/>
      <sz val="10.0"/>
      <color rgb="FF11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9" xfId="0" applyAlignment="1" applyFont="1" applyNumberForma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1" xfId="0" applyAlignment="1" applyFont="1" applyNumberFormat="1">
      <alignment vertical="center"/>
    </xf>
  </cellXfs>
  <cellStyles count="1">
    <cellStyle xfId="0" name="Normal" builtinId="0"/>
  </cellStyles>
  <dxfs count="3">
    <dxf>
      <font>
        <color rgb="FF9C1C15"/>
      </font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6.88"/>
    <col customWidth="1" min="3" max="3" width="11.88"/>
    <col customWidth="1" min="4" max="4" width="8.75"/>
    <col customWidth="1" min="5" max="5" width="10.0"/>
    <col customWidth="1" min="6" max="6" width="10.63"/>
    <col customWidth="1" min="7" max="7" width="11.88"/>
    <col customWidth="1" min="8" max="8" width="15.0"/>
    <col customWidth="1" min="9" max="9" width="18.13"/>
    <col customWidth="1" min="10" max="26" width="8.63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1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ht="37.5" customHeight="1">
      <c r="A6" s="2" t="s">
        <v>12</v>
      </c>
      <c r="B6" s="4" t="s">
        <v>13</v>
      </c>
      <c r="C6" s="2" t="s">
        <v>14</v>
      </c>
      <c r="D6" s="2">
        <f>COUNTIFS(Tasks!$B$6:$B$161,A6)</f>
        <v>13</v>
      </c>
      <c r="E6" s="2">
        <f>COUNTIFS(Tasks!$B$6:$B$161,A6,Tasks!$H$6:$H$161,"Verified")</f>
        <v>0</v>
      </c>
      <c r="F6" s="5">
        <f t="shared" ref="F6:F17" si="1">IF(D6=0,"No units",E6/D6)</f>
        <v>0</v>
      </c>
      <c r="G6" s="2">
        <f>COUNTIFS(Tasks!$B$6:$B$161,A6,Tasks!$F$6:$F$161,"In progress")</f>
        <v>0</v>
      </c>
      <c r="H6" s="2">
        <f>COUNTIFS(Tasks!$B$6:$B$161,A6,Tasks!$H$6:$H$161,"Dependency open")</f>
        <v>10</v>
      </c>
      <c r="I6" s="2" t="str">
        <f>VLOOKUP(A6&amp;".90.01",Tasks!$A$6:$H$161,8,FALSE)</f>
        <v>Dependency open</v>
      </c>
    </row>
    <row r="7" ht="37.5" customHeight="1">
      <c r="A7" s="2" t="s">
        <v>15</v>
      </c>
      <c r="B7" s="4" t="s">
        <v>16</v>
      </c>
      <c r="C7" s="2" t="s">
        <v>17</v>
      </c>
      <c r="D7" s="2">
        <f>COUNTIFS(Tasks!$B$6:$B$161,A7)</f>
        <v>13</v>
      </c>
      <c r="E7" s="2">
        <f>COUNTIFS(Tasks!$B$6:$B$161,A7,Tasks!$H$6:$H$161,"Verified")</f>
        <v>0</v>
      </c>
      <c r="F7" s="5">
        <f t="shared" si="1"/>
        <v>0</v>
      </c>
      <c r="G7" s="2">
        <f>COUNTIFS(Tasks!$B$6:$B$161,A7,Tasks!$F$6:$F$161,"In progress")</f>
        <v>0</v>
      </c>
      <c r="H7" s="2">
        <f>COUNTIFS(Tasks!$B$6:$B$161,A7,Tasks!$H$6:$H$161,"Dependency open")</f>
        <v>13</v>
      </c>
      <c r="I7" s="2" t="str">
        <f>VLOOKUP(A7&amp;".90.01",Tasks!$A$6:$H$161,8,FALSE)</f>
        <v>Dependency open</v>
      </c>
    </row>
    <row r="8" ht="37.5" customHeight="1">
      <c r="A8" s="2" t="s">
        <v>18</v>
      </c>
      <c r="B8" s="4" t="s">
        <v>19</v>
      </c>
      <c r="C8" s="2" t="s">
        <v>17</v>
      </c>
      <c r="D8" s="2">
        <f>COUNTIFS(Tasks!$B$6:$B$161,A8)</f>
        <v>13</v>
      </c>
      <c r="E8" s="2">
        <f>COUNTIFS(Tasks!$B$6:$B$161,A8,Tasks!$H$6:$H$161,"Verified")</f>
        <v>0</v>
      </c>
      <c r="F8" s="5">
        <f t="shared" si="1"/>
        <v>0</v>
      </c>
      <c r="G8" s="2">
        <f>COUNTIFS(Tasks!$B$6:$B$161,A8,Tasks!$F$6:$F$161,"In progress")</f>
        <v>0</v>
      </c>
      <c r="H8" s="2">
        <f>COUNTIFS(Tasks!$B$6:$B$161,A8,Tasks!$H$6:$H$161,"Dependency open")</f>
        <v>13</v>
      </c>
      <c r="I8" s="2" t="str">
        <f>VLOOKUP(A8&amp;".90.01",Tasks!$A$6:$H$161,8,FALSE)</f>
        <v>Dependency open</v>
      </c>
    </row>
    <row r="9" ht="37.5" customHeight="1">
      <c r="A9" s="2" t="s">
        <v>20</v>
      </c>
      <c r="B9" s="4" t="s">
        <v>21</v>
      </c>
      <c r="C9" s="2" t="s">
        <v>17</v>
      </c>
      <c r="D9" s="2">
        <f>COUNTIFS(Tasks!$B$6:$B$161,A9)</f>
        <v>13</v>
      </c>
      <c r="E9" s="2">
        <f>COUNTIFS(Tasks!$B$6:$B$161,A9,Tasks!$H$6:$H$161,"Verified")</f>
        <v>0</v>
      </c>
      <c r="F9" s="5">
        <f t="shared" si="1"/>
        <v>0</v>
      </c>
      <c r="G9" s="2">
        <f>COUNTIFS(Tasks!$B$6:$B$161,A9,Tasks!$F$6:$F$161,"In progress")</f>
        <v>0</v>
      </c>
      <c r="H9" s="2">
        <f>COUNTIFS(Tasks!$B$6:$B$161,A9,Tasks!$H$6:$H$161,"Dependency open")</f>
        <v>13</v>
      </c>
      <c r="I9" s="2" t="str">
        <f>VLOOKUP(A9&amp;".90.01",Tasks!$A$6:$H$161,8,FALSE)</f>
        <v>Dependency open</v>
      </c>
    </row>
    <row r="10" ht="37.5" customHeight="1">
      <c r="A10" s="2" t="s">
        <v>22</v>
      </c>
      <c r="B10" s="4" t="s">
        <v>23</v>
      </c>
      <c r="C10" s="2" t="s">
        <v>17</v>
      </c>
      <c r="D10" s="2">
        <f>COUNTIFS(Tasks!$B$6:$B$161,A10)</f>
        <v>13</v>
      </c>
      <c r="E10" s="2">
        <f>COUNTIFS(Tasks!$B$6:$B$161,A10,Tasks!$H$6:$H$161,"Verified")</f>
        <v>0</v>
      </c>
      <c r="F10" s="5">
        <f t="shared" si="1"/>
        <v>0</v>
      </c>
      <c r="G10" s="2">
        <f>COUNTIFS(Tasks!$B$6:$B$161,A10,Tasks!$F$6:$F$161,"In progress")</f>
        <v>0</v>
      </c>
      <c r="H10" s="2">
        <f>COUNTIFS(Tasks!$B$6:$B$161,A10,Tasks!$H$6:$H$161,"Dependency open")</f>
        <v>13</v>
      </c>
      <c r="I10" s="2" t="str">
        <f>VLOOKUP(A10&amp;".90.01",Tasks!$A$6:$H$161,8,FALSE)</f>
        <v>Dependency open</v>
      </c>
    </row>
    <row r="11" ht="37.5" customHeight="1">
      <c r="A11" s="2" t="s">
        <v>24</v>
      </c>
      <c r="B11" s="4" t="s">
        <v>25</v>
      </c>
      <c r="C11" s="2" t="s">
        <v>26</v>
      </c>
      <c r="D11" s="2">
        <f>COUNTIFS(Tasks!$B$6:$B$161,A11)</f>
        <v>13</v>
      </c>
      <c r="E11" s="2">
        <f>COUNTIFS(Tasks!$B$6:$B$161,A11,Tasks!$H$6:$H$161,"Verified")</f>
        <v>0</v>
      </c>
      <c r="F11" s="5">
        <f t="shared" si="1"/>
        <v>0</v>
      </c>
      <c r="G11" s="2">
        <f>COUNTIFS(Tasks!$B$6:$B$161,A11,Tasks!$F$6:$F$161,"In progress")</f>
        <v>0</v>
      </c>
      <c r="H11" s="2">
        <f>COUNTIFS(Tasks!$B$6:$B$161,A11,Tasks!$H$6:$H$161,"Dependency open")</f>
        <v>13</v>
      </c>
      <c r="I11" s="2" t="str">
        <f>VLOOKUP(A11&amp;".90.01",Tasks!$A$6:$H$161,8,FALSE)</f>
        <v>Dependency open</v>
      </c>
    </row>
    <row r="12" ht="37.5" customHeight="1">
      <c r="A12" s="2" t="s">
        <v>27</v>
      </c>
      <c r="B12" s="4" t="s">
        <v>28</v>
      </c>
      <c r="C12" s="2" t="s">
        <v>26</v>
      </c>
      <c r="D12" s="2">
        <f>COUNTIFS(Tasks!$B$6:$B$161,A12)</f>
        <v>13</v>
      </c>
      <c r="E12" s="2">
        <f>COUNTIFS(Tasks!$B$6:$B$161,A12,Tasks!$H$6:$H$161,"Verified")</f>
        <v>0</v>
      </c>
      <c r="F12" s="5">
        <f t="shared" si="1"/>
        <v>0</v>
      </c>
      <c r="G12" s="2">
        <f>COUNTIFS(Tasks!$B$6:$B$161,A12,Tasks!$F$6:$F$161,"In progress")</f>
        <v>0</v>
      </c>
      <c r="H12" s="2">
        <f>COUNTIFS(Tasks!$B$6:$B$161,A12,Tasks!$H$6:$H$161,"Dependency open")</f>
        <v>13</v>
      </c>
      <c r="I12" s="2" t="str">
        <f>VLOOKUP(A12&amp;".90.01",Tasks!$A$6:$H$161,8,FALSE)</f>
        <v>Dependency open</v>
      </c>
    </row>
    <row r="13" ht="37.5" customHeight="1">
      <c r="A13" s="2" t="s">
        <v>29</v>
      </c>
      <c r="B13" s="4" t="s">
        <v>30</v>
      </c>
      <c r="C13" s="2" t="s">
        <v>26</v>
      </c>
      <c r="D13" s="2">
        <f>COUNTIFS(Tasks!$B$6:$B$161,A13)</f>
        <v>13</v>
      </c>
      <c r="E13" s="2">
        <f>COUNTIFS(Tasks!$B$6:$B$161,A13,Tasks!$H$6:$H$161,"Verified")</f>
        <v>0</v>
      </c>
      <c r="F13" s="5">
        <f t="shared" si="1"/>
        <v>0</v>
      </c>
      <c r="G13" s="2">
        <f>COUNTIFS(Tasks!$B$6:$B$161,A13,Tasks!$F$6:$F$161,"In progress")</f>
        <v>0</v>
      </c>
      <c r="H13" s="2">
        <f>COUNTIFS(Tasks!$B$6:$B$161,A13,Tasks!$H$6:$H$161,"Dependency open")</f>
        <v>13</v>
      </c>
      <c r="I13" s="2" t="str">
        <f>VLOOKUP(A13&amp;".90.01",Tasks!$A$6:$H$161,8,FALSE)</f>
        <v>Dependency open</v>
      </c>
    </row>
    <row r="14" ht="37.5" customHeight="1">
      <c r="A14" s="2" t="s">
        <v>31</v>
      </c>
      <c r="B14" s="4" t="s">
        <v>32</v>
      </c>
      <c r="C14" s="2" t="s">
        <v>33</v>
      </c>
      <c r="D14" s="2">
        <f>COUNTIFS(Tasks!$B$6:$B$161,A14)</f>
        <v>13</v>
      </c>
      <c r="E14" s="2">
        <f>COUNTIFS(Tasks!$B$6:$B$161,A14,Tasks!$H$6:$H$161,"Verified")</f>
        <v>0</v>
      </c>
      <c r="F14" s="5">
        <f t="shared" si="1"/>
        <v>0</v>
      </c>
      <c r="G14" s="2">
        <f>COUNTIFS(Tasks!$B$6:$B$161,A14,Tasks!$F$6:$F$161,"In progress")</f>
        <v>0</v>
      </c>
      <c r="H14" s="2">
        <f>COUNTIFS(Tasks!$B$6:$B$161,A14,Tasks!$H$6:$H$161,"Dependency open")</f>
        <v>13</v>
      </c>
      <c r="I14" s="2" t="str">
        <f>VLOOKUP(A14&amp;".90.01",Tasks!$A$6:$H$161,8,FALSE)</f>
        <v>Dependency open</v>
      </c>
    </row>
    <row r="15" ht="37.5" customHeight="1">
      <c r="A15" s="2" t="s">
        <v>34</v>
      </c>
      <c r="B15" s="4" t="s">
        <v>35</v>
      </c>
      <c r="C15" s="2" t="s">
        <v>26</v>
      </c>
      <c r="D15" s="2">
        <f>COUNTIFS(Tasks!$B$6:$B$161,A15)</f>
        <v>13</v>
      </c>
      <c r="E15" s="2">
        <f>COUNTIFS(Tasks!$B$6:$B$161,A15,Tasks!$H$6:$H$161,"Verified")</f>
        <v>0</v>
      </c>
      <c r="F15" s="5">
        <f t="shared" si="1"/>
        <v>0</v>
      </c>
      <c r="G15" s="2">
        <f>COUNTIFS(Tasks!$B$6:$B$161,A15,Tasks!$F$6:$F$161,"In progress")</f>
        <v>0</v>
      </c>
      <c r="H15" s="2">
        <f>COUNTIFS(Tasks!$B$6:$B$161,A15,Tasks!$H$6:$H$161,"Dependency open")</f>
        <v>13</v>
      </c>
      <c r="I15" s="2" t="str">
        <f>VLOOKUP(A15&amp;".90.01",Tasks!$A$6:$H$161,8,FALSE)</f>
        <v>Dependency open</v>
      </c>
    </row>
    <row r="16" ht="37.5" customHeight="1">
      <c r="A16" s="2" t="s">
        <v>36</v>
      </c>
      <c r="B16" s="4" t="s">
        <v>37</v>
      </c>
      <c r="C16" s="2" t="s">
        <v>26</v>
      </c>
      <c r="D16" s="2">
        <f>COUNTIFS(Tasks!$B$6:$B$161,A16)</f>
        <v>13</v>
      </c>
      <c r="E16" s="2">
        <f>COUNTIFS(Tasks!$B$6:$B$161,A16,Tasks!$H$6:$H$161,"Verified")</f>
        <v>0</v>
      </c>
      <c r="F16" s="5">
        <f t="shared" si="1"/>
        <v>0</v>
      </c>
      <c r="G16" s="2">
        <f>COUNTIFS(Tasks!$B$6:$B$161,A16,Tasks!$F$6:$F$161,"In progress")</f>
        <v>0</v>
      </c>
      <c r="H16" s="2">
        <f>COUNTIFS(Tasks!$B$6:$B$161,A16,Tasks!$H$6:$H$161,"Dependency open")</f>
        <v>13</v>
      </c>
      <c r="I16" s="2" t="str">
        <f>VLOOKUP(A16&amp;".90.01",Tasks!$A$6:$H$161,8,FALSE)</f>
        <v>Dependency open</v>
      </c>
    </row>
    <row r="17" ht="37.5" customHeight="1">
      <c r="A17" s="2" t="s">
        <v>38</v>
      </c>
      <c r="B17" s="4" t="s">
        <v>39</v>
      </c>
      <c r="C17" s="2" t="s">
        <v>40</v>
      </c>
      <c r="D17" s="2">
        <f>COUNTIFS(Tasks!$B$6:$B$161,A17)</f>
        <v>13</v>
      </c>
      <c r="E17" s="2">
        <f>COUNTIFS(Tasks!$B$6:$B$161,A17,Tasks!$H$6:$H$161,"Verified")</f>
        <v>0</v>
      </c>
      <c r="F17" s="5">
        <f t="shared" si="1"/>
        <v>0</v>
      </c>
      <c r="G17" s="2">
        <f>COUNTIFS(Tasks!$B$6:$B$161,A17,Tasks!$F$6:$F$161,"In progress")</f>
        <v>0</v>
      </c>
      <c r="H17" s="2">
        <f>COUNTIFS(Tasks!$B$6:$B$161,A17,Tasks!$H$6:$H$161,"Dependency open")</f>
        <v>13</v>
      </c>
      <c r="I17" s="2" t="str">
        <f>VLOOKUP(A17&amp;".90.01",Tasks!$A$6:$H$161,8,FALSE)</f>
        <v>Dependency open</v>
      </c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 t="s">
        <v>41</v>
      </c>
      <c r="B20" s="2">
        <f>COUNTA(Tasks!$A$6:$A$161)</f>
        <v>156</v>
      </c>
      <c r="C20" s="2"/>
      <c r="D20" s="2"/>
      <c r="E20" s="2"/>
      <c r="F20" s="2"/>
      <c r="G20" s="2"/>
      <c r="H20" s="2"/>
      <c r="I20" s="2"/>
    </row>
    <row r="21" ht="15.75" customHeight="1">
      <c r="A21" s="2" t="s">
        <v>42</v>
      </c>
      <c r="B21" s="2">
        <f>COUNTIFS(Tasks!$H$6:$H$161,"Verified")</f>
        <v>0</v>
      </c>
      <c r="C21" s="2"/>
      <c r="D21" s="2"/>
      <c r="E21" s="2"/>
      <c r="F21" s="2"/>
      <c r="G21" s="2"/>
      <c r="H21" s="2"/>
      <c r="I21" s="2"/>
    </row>
    <row r="22" ht="15.75" customHeight="1">
      <c r="A22" s="2" t="s">
        <v>43</v>
      </c>
      <c r="B22" s="2" t="str">
        <f>VLOOKUP("P04.90.01",Tasks!$A$6:$H$161,8,FALSE)</f>
        <v>Dependency open</v>
      </c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 t="s">
        <v>44</v>
      </c>
      <c r="B25" s="2" t="s">
        <v>45</v>
      </c>
      <c r="C25" s="2"/>
      <c r="D25" s="2"/>
      <c r="E25" s="2"/>
      <c r="F25" s="2"/>
      <c r="G25" s="2"/>
      <c r="H25" s="2"/>
      <c r="I25" s="2"/>
    </row>
    <row r="26" ht="15.75" customHeight="1">
      <c r="A26" s="2" t="s">
        <v>46</v>
      </c>
      <c r="B26" s="2" t="s">
        <v>47</v>
      </c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 t="s">
        <v>48</v>
      </c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5.63"/>
    <col customWidth="1" min="2" max="2" width="8.13"/>
    <col customWidth="1" min="3" max="3" width="29.38"/>
    <col customWidth="1" min="4" max="4" width="43.75"/>
    <col customWidth="1" min="5" max="5" width="21.88"/>
    <col customWidth="1" min="6" max="6" width="13.75"/>
    <col customWidth="1" min="7" max="7" width="7.5"/>
    <col customWidth="1" min="8" max="8" width="18.75"/>
    <col customWidth="1" min="9" max="9" width="30.0"/>
    <col customWidth="1" min="10" max="10" width="18.75"/>
    <col customWidth="1" min="11" max="11" width="18.13"/>
    <col customWidth="1" min="12" max="14" width="15.63"/>
    <col customWidth="1" min="15" max="15" width="19.38"/>
    <col customWidth="1" min="16" max="16" width="56.25"/>
    <col customWidth="1" min="17" max="17" width="40.0"/>
    <col customWidth="1" min="18" max="18" width="11.88"/>
    <col customWidth="1" min="19" max="19" width="13.13"/>
    <col customWidth="1" min="20" max="20" width="22.5"/>
    <col customWidth="1" min="21" max="21" width="37.5"/>
    <col customWidth="1" min="22" max="22" width="11.25"/>
    <col customWidth="1" min="23" max="26" width="8.63"/>
  </cols>
  <sheetData>
    <row r="1" ht="25.5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 t="s">
        <v>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31.5" customHeight="1">
      <c r="A5" s="3" t="s">
        <v>52</v>
      </c>
      <c r="B5" s="3" t="s">
        <v>3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62</v>
      </c>
      <c r="M5" s="3" t="s">
        <v>63</v>
      </c>
      <c r="N5" s="3" t="s">
        <v>64</v>
      </c>
      <c r="O5" s="3" t="s">
        <v>65</v>
      </c>
      <c r="P5" s="3" t="s">
        <v>66</v>
      </c>
      <c r="Q5" s="3" t="s">
        <v>67</v>
      </c>
      <c r="R5" s="3" t="s">
        <v>68</v>
      </c>
      <c r="S5" s="3" t="s">
        <v>69</v>
      </c>
      <c r="T5" s="3" t="s">
        <v>70</v>
      </c>
      <c r="U5" s="3" t="s">
        <v>71</v>
      </c>
      <c r="V5" s="3" t="s">
        <v>5</v>
      </c>
    </row>
    <row r="6" ht="60.0" customHeight="1">
      <c r="A6" s="2" t="s">
        <v>72</v>
      </c>
      <c r="B6" s="2" t="s">
        <v>12</v>
      </c>
      <c r="C6" s="4" t="s">
        <v>73</v>
      </c>
      <c r="D6" s="4" t="s">
        <v>74</v>
      </c>
      <c r="E6" s="4" t="s">
        <v>75</v>
      </c>
      <c r="F6" s="6" t="s">
        <v>76</v>
      </c>
      <c r="G6" s="7" t="b">
        <v>0</v>
      </c>
      <c r="H6" s="2" t="str">
        <f t="shared" ref="H6:H161" si="1">IF(COUNTIFS($A$6:$A$161,A6)&lt;&gt;1,"Duplicate ID",IF(O6&lt;&gt;"Ready","Dependency open",IF(G6=TRUE,IF(AND(F6="Complete",I6&lt;&gt;"",J6&lt;&gt;"",K6&lt;&gt;""),"Verified","Evidence required"),IF(F6="Complete","Check completion",IF(F6="Blocked","Blocked",IF(F6="In progress","In progress",IF(F6="In review","In review","Open")))))))</f>
        <v>Open</v>
      </c>
      <c r="I6" s="7" t="s">
        <v>77</v>
      </c>
      <c r="J6" s="7" t="s">
        <v>77</v>
      </c>
      <c r="K6" s="7" t="s">
        <v>77</v>
      </c>
      <c r="L6" s="2"/>
      <c r="M6" s="2"/>
      <c r="N6" s="2"/>
      <c r="O6" s="2" t="str">
        <f>"Ready"</f>
        <v>Ready</v>
      </c>
      <c r="P6" s="4" t="s">
        <v>78</v>
      </c>
      <c r="Q6" s="4" t="s">
        <v>79</v>
      </c>
      <c r="R6" s="8"/>
      <c r="S6" s="8">
        <v>6000.0</v>
      </c>
      <c r="T6" s="2" t="s">
        <v>80</v>
      </c>
      <c r="U6" s="4" t="s">
        <v>81</v>
      </c>
      <c r="V6" s="2" t="s">
        <v>14</v>
      </c>
    </row>
    <row r="7" ht="60.0" customHeight="1">
      <c r="A7" s="2" t="s">
        <v>82</v>
      </c>
      <c r="B7" s="2" t="s">
        <v>12</v>
      </c>
      <c r="C7" s="4" t="s">
        <v>73</v>
      </c>
      <c r="D7" s="4" t="s">
        <v>83</v>
      </c>
      <c r="E7" s="4" t="s">
        <v>75</v>
      </c>
      <c r="F7" s="4" t="s">
        <v>76</v>
      </c>
      <c r="G7" s="2" t="b">
        <v>0</v>
      </c>
      <c r="H7" s="2" t="str">
        <f t="shared" si="1"/>
        <v>Dependency open</v>
      </c>
      <c r="I7" s="2"/>
      <c r="J7" s="2"/>
      <c r="K7" s="2"/>
      <c r="L7" s="2" t="s">
        <v>72</v>
      </c>
      <c r="M7" s="2"/>
      <c r="N7" s="2"/>
      <c r="O7" s="2" t="str">
        <f>IF(AND(OR(L7="",IFNA(VLOOKUP(L7,$A$6:$H$6,8,FALSE),"Missing")="Verified"),OR(M7="",IFNA(VLOOKUP(M7,$A$6:$H$6,8,FALSE),"Missing")="Verified"),OR(N7="",IFNA(VLOOKUP(N7,$A$6:$H$6,8,FALSE),"Missing")="Verified")),"Ready","Dependency open")</f>
        <v>Dependency open</v>
      </c>
      <c r="P7" s="4" t="s">
        <v>84</v>
      </c>
      <c r="Q7" s="4" t="s">
        <v>85</v>
      </c>
      <c r="R7" s="8"/>
      <c r="S7" s="8">
        <v>6000.0</v>
      </c>
      <c r="T7" s="2" t="s">
        <v>80</v>
      </c>
      <c r="U7" s="4" t="s">
        <v>81</v>
      </c>
      <c r="V7" s="2" t="s">
        <v>14</v>
      </c>
    </row>
    <row r="8" ht="60.0" customHeight="1">
      <c r="A8" s="2" t="s">
        <v>86</v>
      </c>
      <c r="B8" s="2" t="s">
        <v>12</v>
      </c>
      <c r="C8" s="4" t="s">
        <v>73</v>
      </c>
      <c r="D8" s="4" t="s">
        <v>87</v>
      </c>
      <c r="E8" s="4" t="s">
        <v>75</v>
      </c>
      <c r="F8" s="4" t="s">
        <v>76</v>
      </c>
      <c r="G8" s="2" t="b">
        <v>0</v>
      </c>
      <c r="H8" s="2" t="str">
        <f t="shared" si="1"/>
        <v>Dependency open</v>
      </c>
      <c r="I8" s="2"/>
      <c r="J8" s="2"/>
      <c r="K8" s="2"/>
      <c r="L8" s="2" t="s">
        <v>82</v>
      </c>
      <c r="M8" s="2"/>
      <c r="N8" s="2"/>
      <c r="O8" s="2" t="str">
        <f>IF(AND(OR(L8="",IFNA(VLOOKUP(L8,$A$6:$H$7,8,FALSE),"Missing")="Verified"),OR(M8="",IFNA(VLOOKUP(M8,$A$6:$H$7,8,FALSE),"Missing")="Verified"),OR(N8="",IFNA(VLOOKUP(N8,$A$6:$H$7,8,FALSE),"Missing")="Verified")),"Ready","Dependency open")</f>
        <v>Dependency open</v>
      </c>
      <c r="P8" s="4" t="s">
        <v>88</v>
      </c>
      <c r="Q8" s="4" t="s">
        <v>89</v>
      </c>
      <c r="R8" s="8"/>
      <c r="S8" s="8">
        <v>6000.0</v>
      </c>
      <c r="T8" s="2" t="s">
        <v>80</v>
      </c>
      <c r="U8" s="4" t="s">
        <v>81</v>
      </c>
      <c r="V8" s="2" t="s">
        <v>14</v>
      </c>
    </row>
    <row r="9" ht="60.0" customHeight="1">
      <c r="A9" s="2" t="s">
        <v>90</v>
      </c>
      <c r="B9" s="2" t="s">
        <v>12</v>
      </c>
      <c r="C9" s="4" t="s">
        <v>73</v>
      </c>
      <c r="D9" s="4" t="s">
        <v>91</v>
      </c>
      <c r="E9" s="4" t="s">
        <v>75</v>
      </c>
      <c r="F9" s="4" t="s">
        <v>76</v>
      </c>
      <c r="G9" s="2" t="b">
        <v>0</v>
      </c>
      <c r="H9" s="2" t="str">
        <f t="shared" si="1"/>
        <v>Dependency open</v>
      </c>
      <c r="I9" s="2"/>
      <c r="J9" s="2"/>
      <c r="K9" s="2"/>
      <c r="L9" s="2" t="s">
        <v>86</v>
      </c>
      <c r="M9" s="2"/>
      <c r="N9" s="2"/>
      <c r="O9" s="2" t="str">
        <f>IF(AND(OR(L9="",IFNA(VLOOKUP(L9,$A$6:$H$8,8,FALSE),"Missing")="Verified"),OR(M9="",IFNA(VLOOKUP(M9,$A$6:$H$8,8,FALSE),"Missing")="Verified"),OR(N9="",IFNA(VLOOKUP(N9,$A$6:$H$8,8,FALSE),"Missing")="Verified")),"Ready","Dependency open")</f>
        <v>Dependency open</v>
      </c>
      <c r="P9" s="4" t="s">
        <v>92</v>
      </c>
      <c r="Q9" s="4" t="s">
        <v>93</v>
      </c>
      <c r="R9" s="8"/>
      <c r="S9" s="8">
        <v>6000.0</v>
      </c>
      <c r="T9" s="2" t="s">
        <v>80</v>
      </c>
      <c r="U9" s="4" t="s">
        <v>81</v>
      </c>
      <c r="V9" s="2" t="s">
        <v>14</v>
      </c>
    </row>
    <row r="10" ht="60.0" customHeight="1">
      <c r="A10" s="2" t="s">
        <v>94</v>
      </c>
      <c r="B10" s="2" t="s">
        <v>12</v>
      </c>
      <c r="C10" s="4" t="s">
        <v>95</v>
      </c>
      <c r="D10" s="4" t="s">
        <v>96</v>
      </c>
      <c r="E10" s="4" t="s">
        <v>97</v>
      </c>
      <c r="F10" s="4" t="s">
        <v>76</v>
      </c>
      <c r="G10" s="2" t="b">
        <v>0</v>
      </c>
      <c r="H10" s="2" t="str">
        <f t="shared" si="1"/>
        <v>Open</v>
      </c>
      <c r="I10" s="2"/>
      <c r="J10" s="2"/>
      <c r="K10" s="2"/>
      <c r="L10" s="2"/>
      <c r="M10" s="2"/>
      <c r="N10" s="2"/>
      <c r="O10" s="2" t="str">
        <f>IF(AND(OR(L10="",IFNA(VLOOKUP(L10,$A$6:$H$9,8,FALSE),"Missing")="Verified"),OR(M10="",IFNA(VLOOKUP(M10,$A$6:$H$9,8,FALSE),"Missing")="Verified"),OR(N10="",IFNA(VLOOKUP(N10,$A$6:$H$9,8,FALSE),"Missing")="Verified")),"Ready","Dependency open")</f>
        <v>Ready</v>
      </c>
      <c r="P10" s="4" t="s">
        <v>98</v>
      </c>
      <c r="Q10" s="4" t="s">
        <v>99</v>
      </c>
      <c r="R10" s="8"/>
      <c r="S10" s="8">
        <v>6000.0</v>
      </c>
      <c r="T10" s="2" t="s">
        <v>80</v>
      </c>
      <c r="U10" s="4" t="s">
        <v>81</v>
      </c>
      <c r="V10" s="2" t="s">
        <v>14</v>
      </c>
    </row>
    <row r="11" ht="60.0" customHeight="1">
      <c r="A11" s="2" t="s">
        <v>100</v>
      </c>
      <c r="B11" s="2" t="s">
        <v>12</v>
      </c>
      <c r="C11" s="4" t="s">
        <v>95</v>
      </c>
      <c r="D11" s="4" t="s">
        <v>101</v>
      </c>
      <c r="E11" s="4" t="s">
        <v>97</v>
      </c>
      <c r="F11" s="4" t="s">
        <v>76</v>
      </c>
      <c r="G11" s="2" t="b">
        <v>0</v>
      </c>
      <c r="H11" s="2" t="str">
        <f t="shared" si="1"/>
        <v>Dependency open</v>
      </c>
      <c r="I11" s="2"/>
      <c r="J11" s="2"/>
      <c r="K11" s="2"/>
      <c r="L11" s="2" t="s">
        <v>94</v>
      </c>
      <c r="M11" s="2"/>
      <c r="N11" s="2"/>
      <c r="O11" s="2" t="str">
        <f>IF(AND(OR(L11="",IFNA(VLOOKUP(L11,$A$6:$H$10,8,FALSE),"Missing")="Verified"),OR(M11="",IFNA(VLOOKUP(M11,$A$6:$H$10,8,FALSE),"Missing")="Verified"),OR(N11="",IFNA(VLOOKUP(N11,$A$6:$H$10,8,FALSE),"Missing")="Verified")),"Ready","Dependency open")</f>
        <v>Dependency open</v>
      </c>
      <c r="P11" s="4" t="s">
        <v>102</v>
      </c>
      <c r="Q11" s="4" t="s">
        <v>103</v>
      </c>
      <c r="R11" s="8"/>
      <c r="S11" s="8">
        <v>6000.0</v>
      </c>
      <c r="T11" s="2" t="s">
        <v>80</v>
      </c>
      <c r="U11" s="4" t="s">
        <v>81</v>
      </c>
      <c r="V11" s="2" t="s">
        <v>14</v>
      </c>
    </row>
    <row r="12" ht="60.0" customHeight="1">
      <c r="A12" s="2" t="s">
        <v>104</v>
      </c>
      <c r="B12" s="2" t="s">
        <v>12</v>
      </c>
      <c r="C12" s="4" t="s">
        <v>95</v>
      </c>
      <c r="D12" s="4" t="s">
        <v>105</v>
      </c>
      <c r="E12" s="4" t="s">
        <v>97</v>
      </c>
      <c r="F12" s="4" t="s">
        <v>76</v>
      </c>
      <c r="G12" s="2" t="b">
        <v>0</v>
      </c>
      <c r="H12" s="2" t="str">
        <f t="shared" si="1"/>
        <v>Dependency open</v>
      </c>
      <c r="I12" s="2"/>
      <c r="J12" s="2"/>
      <c r="K12" s="2"/>
      <c r="L12" s="2" t="s">
        <v>100</v>
      </c>
      <c r="M12" s="2"/>
      <c r="N12" s="2"/>
      <c r="O12" s="2" t="str">
        <f>IF(AND(OR(L12="",IFNA(VLOOKUP(L12,$A$6:$H$11,8,FALSE),"Missing")="Verified"),OR(M12="",IFNA(VLOOKUP(M12,$A$6:$H$11,8,FALSE),"Missing")="Verified"),OR(N12="",IFNA(VLOOKUP(N12,$A$6:$H$11,8,FALSE),"Missing")="Verified")),"Ready","Dependency open")</f>
        <v>Dependency open</v>
      </c>
      <c r="P12" s="4" t="s">
        <v>106</v>
      </c>
      <c r="Q12" s="4" t="s">
        <v>107</v>
      </c>
      <c r="R12" s="8"/>
      <c r="S12" s="8">
        <v>6000.0</v>
      </c>
      <c r="T12" s="2" t="s">
        <v>80</v>
      </c>
      <c r="U12" s="4" t="s">
        <v>81</v>
      </c>
      <c r="V12" s="2" t="s">
        <v>14</v>
      </c>
    </row>
    <row r="13" ht="60.0" customHeight="1">
      <c r="A13" s="2" t="s">
        <v>108</v>
      </c>
      <c r="B13" s="2" t="s">
        <v>12</v>
      </c>
      <c r="C13" s="4" t="s">
        <v>95</v>
      </c>
      <c r="D13" s="4" t="s">
        <v>109</v>
      </c>
      <c r="E13" s="4" t="s">
        <v>97</v>
      </c>
      <c r="F13" s="4" t="s">
        <v>76</v>
      </c>
      <c r="G13" s="2" t="b">
        <v>0</v>
      </c>
      <c r="H13" s="2" t="str">
        <f t="shared" si="1"/>
        <v>Dependency open</v>
      </c>
      <c r="I13" s="2"/>
      <c r="J13" s="2"/>
      <c r="K13" s="2"/>
      <c r="L13" s="2" t="s">
        <v>104</v>
      </c>
      <c r="M13" s="2"/>
      <c r="N13" s="2"/>
      <c r="O13" s="2" t="str">
        <f>IF(AND(OR(L13="",IFNA(VLOOKUP(L13,$A$6:$H$12,8,FALSE),"Missing")="Verified"),OR(M13="",IFNA(VLOOKUP(M13,$A$6:$H$12,8,FALSE),"Missing")="Verified"),OR(N13="",IFNA(VLOOKUP(N13,$A$6:$H$12,8,FALSE),"Missing")="Verified")),"Ready","Dependency open")</f>
        <v>Dependency open</v>
      </c>
      <c r="P13" s="4" t="s">
        <v>110</v>
      </c>
      <c r="Q13" s="4" t="s">
        <v>111</v>
      </c>
      <c r="R13" s="8"/>
      <c r="S13" s="8">
        <v>6000.0</v>
      </c>
      <c r="T13" s="2" t="s">
        <v>80</v>
      </c>
      <c r="U13" s="4" t="s">
        <v>81</v>
      </c>
      <c r="V13" s="2" t="s">
        <v>14</v>
      </c>
    </row>
    <row r="14" ht="60.0" customHeight="1">
      <c r="A14" s="2" t="s">
        <v>112</v>
      </c>
      <c r="B14" s="2" t="s">
        <v>12</v>
      </c>
      <c r="C14" s="4" t="s">
        <v>113</v>
      </c>
      <c r="D14" s="4" t="s">
        <v>114</v>
      </c>
      <c r="E14" s="4" t="s">
        <v>97</v>
      </c>
      <c r="F14" s="4" t="s">
        <v>76</v>
      </c>
      <c r="G14" s="2" t="b">
        <v>0</v>
      </c>
      <c r="H14" s="2" t="str">
        <f t="shared" si="1"/>
        <v>Open</v>
      </c>
      <c r="I14" s="2"/>
      <c r="J14" s="2"/>
      <c r="K14" s="2"/>
      <c r="L14" s="2"/>
      <c r="M14" s="2"/>
      <c r="N14" s="2"/>
      <c r="O14" s="2" t="str">
        <f>IF(AND(OR(L14="",IFNA(VLOOKUP(L14,$A$6:$H$13,8,FALSE),"Missing")="Verified"),OR(M14="",IFNA(VLOOKUP(M14,$A$6:$H$13,8,FALSE),"Missing")="Verified"),OR(N14="",IFNA(VLOOKUP(N14,$A$6:$H$13,8,FALSE),"Missing")="Verified")),"Ready","Dependency open")</f>
        <v>Ready</v>
      </c>
      <c r="P14" s="4" t="s">
        <v>115</v>
      </c>
      <c r="Q14" s="4" t="s">
        <v>116</v>
      </c>
      <c r="R14" s="8"/>
      <c r="S14" s="8">
        <v>6000.0</v>
      </c>
      <c r="T14" s="2" t="s">
        <v>80</v>
      </c>
      <c r="U14" s="4" t="s">
        <v>81</v>
      </c>
      <c r="V14" s="2" t="s">
        <v>14</v>
      </c>
    </row>
    <row r="15" ht="60.0" customHeight="1">
      <c r="A15" s="2" t="s">
        <v>117</v>
      </c>
      <c r="B15" s="2" t="s">
        <v>12</v>
      </c>
      <c r="C15" s="4" t="s">
        <v>113</v>
      </c>
      <c r="D15" s="4" t="s">
        <v>118</v>
      </c>
      <c r="E15" s="4" t="s">
        <v>97</v>
      </c>
      <c r="F15" s="4" t="s">
        <v>76</v>
      </c>
      <c r="G15" s="2" t="b">
        <v>0</v>
      </c>
      <c r="H15" s="2" t="str">
        <f t="shared" si="1"/>
        <v>Dependency open</v>
      </c>
      <c r="I15" s="2"/>
      <c r="J15" s="2"/>
      <c r="K15" s="2"/>
      <c r="L15" s="2" t="s">
        <v>112</v>
      </c>
      <c r="M15" s="2"/>
      <c r="N15" s="2"/>
      <c r="O15" s="2" t="str">
        <f>IF(AND(OR(L15="",IFNA(VLOOKUP(L15,$A$6:$H$14,8,FALSE),"Missing")="Verified"),OR(M15="",IFNA(VLOOKUP(M15,$A$6:$H$14,8,FALSE),"Missing")="Verified"),OR(N15="",IFNA(VLOOKUP(N15,$A$6:$H$14,8,FALSE),"Missing")="Verified")),"Ready","Dependency open")</f>
        <v>Dependency open</v>
      </c>
      <c r="P15" s="4" t="s">
        <v>119</v>
      </c>
      <c r="Q15" s="4" t="s">
        <v>120</v>
      </c>
      <c r="R15" s="8"/>
      <c r="S15" s="8">
        <v>6000.0</v>
      </c>
      <c r="T15" s="2" t="s">
        <v>80</v>
      </c>
      <c r="U15" s="4" t="s">
        <v>81</v>
      </c>
      <c r="V15" s="2" t="s">
        <v>14</v>
      </c>
    </row>
    <row r="16" ht="60.0" customHeight="1">
      <c r="A16" s="2" t="s">
        <v>121</v>
      </c>
      <c r="B16" s="2" t="s">
        <v>12</v>
      </c>
      <c r="C16" s="4" t="s">
        <v>113</v>
      </c>
      <c r="D16" s="4" t="s">
        <v>122</v>
      </c>
      <c r="E16" s="4" t="s">
        <v>97</v>
      </c>
      <c r="F16" s="4" t="s">
        <v>76</v>
      </c>
      <c r="G16" s="2" t="b">
        <v>0</v>
      </c>
      <c r="H16" s="2" t="str">
        <f t="shared" si="1"/>
        <v>Dependency open</v>
      </c>
      <c r="I16" s="2"/>
      <c r="J16" s="2"/>
      <c r="K16" s="2"/>
      <c r="L16" s="2" t="s">
        <v>117</v>
      </c>
      <c r="M16" s="2"/>
      <c r="N16" s="2"/>
      <c r="O16" s="2" t="str">
        <f>IF(AND(OR(L16="",IFNA(VLOOKUP(L16,$A$6:$H$15,8,FALSE),"Missing")="Verified"),OR(M16="",IFNA(VLOOKUP(M16,$A$6:$H$15,8,FALSE),"Missing")="Verified"),OR(N16="",IFNA(VLOOKUP(N16,$A$6:$H$15,8,FALSE),"Missing")="Verified")),"Ready","Dependency open")</f>
        <v>Dependency open</v>
      </c>
      <c r="P16" s="4" t="s">
        <v>123</v>
      </c>
      <c r="Q16" s="4" t="s">
        <v>124</v>
      </c>
      <c r="R16" s="8"/>
      <c r="S16" s="8">
        <v>6000.0</v>
      </c>
      <c r="T16" s="2" t="s">
        <v>80</v>
      </c>
      <c r="U16" s="4" t="s">
        <v>81</v>
      </c>
      <c r="V16" s="2" t="s">
        <v>14</v>
      </c>
    </row>
    <row r="17" ht="60.0" customHeight="1">
      <c r="A17" s="2" t="s">
        <v>125</v>
      </c>
      <c r="B17" s="2" t="s">
        <v>12</v>
      </c>
      <c r="C17" s="4" t="s">
        <v>113</v>
      </c>
      <c r="D17" s="4" t="s">
        <v>126</v>
      </c>
      <c r="E17" s="4" t="s">
        <v>97</v>
      </c>
      <c r="F17" s="4" t="s">
        <v>76</v>
      </c>
      <c r="G17" s="2" t="b">
        <v>0</v>
      </c>
      <c r="H17" s="2" t="str">
        <f t="shared" si="1"/>
        <v>Dependency open</v>
      </c>
      <c r="I17" s="2"/>
      <c r="J17" s="2"/>
      <c r="K17" s="2"/>
      <c r="L17" s="2" t="s">
        <v>121</v>
      </c>
      <c r="M17" s="2"/>
      <c r="N17" s="2"/>
      <c r="O17" s="2" t="str">
        <f>IF(AND(OR(L17="",IFNA(VLOOKUP(L17,$A$6:$H$16,8,FALSE),"Missing")="Verified"),OR(M17="",IFNA(VLOOKUP(M17,$A$6:$H$16,8,FALSE),"Missing")="Verified"),OR(N17="",IFNA(VLOOKUP(N17,$A$6:$H$16,8,FALSE),"Missing")="Verified")),"Ready","Dependency open")</f>
        <v>Dependency open</v>
      </c>
      <c r="P17" s="4" t="s">
        <v>127</v>
      </c>
      <c r="Q17" s="4" t="s">
        <v>128</v>
      </c>
      <c r="R17" s="8"/>
      <c r="S17" s="8">
        <v>6000.0</v>
      </c>
      <c r="T17" s="2" t="s">
        <v>80</v>
      </c>
      <c r="U17" s="4" t="s">
        <v>81</v>
      </c>
      <c r="V17" s="2" t="s">
        <v>14</v>
      </c>
    </row>
    <row r="18" ht="60.0" customHeight="1">
      <c r="A18" s="2" t="s">
        <v>129</v>
      </c>
      <c r="B18" s="2" t="s">
        <v>12</v>
      </c>
      <c r="C18" s="4" t="s">
        <v>130</v>
      </c>
      <c r="D18" s="4" t="s">
        <v>131</v>
      </c>
      <c r="E18" s="4" t="s">
        <v>132</v>
      </c>
      <c r="F18" s="4" t="s">
        <v>76</v>
      </c>
      <c r="G18" s="2" t="b">
        <v>0</v>
      </c>
      <c r="H18" s="2" t="str">
        <f t="shared" si="1"/>
        <v>Dependency open</v>
      </c>
      <c r="I18" s="2"/>
      <c r="J18" s="2"/>
      <c r="K18" s="2"/>
      <c r="L18" s="2" t="s">
        <v>90</v>
      </c>
      <c r="M18" s="2" t="s">
        <v>108</v>
      </c>
      <c r="N18" s="2" t="s">
        <v>125</v>
      </c>
      <c r="O18" s="2" t="str">
        <f>IF(AND(OR(L18="",IFNA(VLOOKUP(L18,$A$6:$H$17,8,FALSE),"Missing")="Verified"),OR(M18="",IFNA(VLOOKUP(M18,$A$6:$H$17,8,FALSE),"Missing")="Verified"),OR(N18="",IFNA(VLOOKUP(N18,$A$6:$H$17,8,FALSE),"Missing")="Verified")),"Ready","Dependency open")</f>
        <v>Dependency open</v>
      </c>
      <c r="P18" s="4" t="s">
        <v>133</v>
      </c>
      <c r="Q18" s="4" t="s">
        <v>134</v>
      </c>
      <c r="R18" s="8"/>
      <c r="S18" s="8">
        <v>4000.0</v>
      </c>
      <c r="T18" s="2" t="s">
        <v>135</v>
      </c>
      <c r="U18" s="4" t="s">
        <v>136</v>
      </c>
      <c r="V18" s="2" t="s">
        <v>14</v>
      </c>
    </row>
    <row r="19" ht="60.0" customHeight="1">
      <c r="A19" s="2" t="s">
        <v>137</v>
      </c>
      <c r="B19" s="2" t="s">
        <v>15</v>
      </c>
      <c r="C19" s="4" t="s">
        <v>138</v>
      </c>
      <c r="D19" s="4" t="s">
        <v>139</v>
      </c>
      <c r="E19" s="4" t="s">
        <v>140</v>
      </c>
      <c r="F19" s="4" t="s">
        <v>76</v>
      </c>
      <c r="G19" s="2" t="b">
        <v>0</v>
      </c>
      <c r="H19" s="2" t="str">
        <f t="shared" si="1"/>
        <v>Dependency open</v>
      </c>
      <c r="I19" s="2"/>
      <c r="J19" s="2"/>
      <c r="K19" s="2"/>
      <c r="L19" s="2" t="s">
        <v>129</v>
      </c>
      <c r="M19" s="2"/>
      <c r="N19" s="2"/>
      <c r="O19" s="2" t="str">
        <f>IF(AND(OR(L19="",IFNA(VLOOKUP(L19,$A$6:$H$18,8,FALSE),"Missing")="Verified"),OR(M19="",IFNA(VLOOKUP(M19,$A$6:$H$18,8,FALSE),"Missing")="Verified"),OR(N19="",IFNA(VLOOKUP(N19,$A$6:$H$18,8,FALSE),"Missing")="Verified")),"Ready","Dependency open")</f>
        <v>Dependency open</v>
      </c>
      <c r="P19" s="4" t="s">
        <v>141</v>
      </c>
      <c r="Q19" s="4" t="s">
        <v>142</v>
      </c>
      <c r="R19" s="8"/>
      <c r="S19" s="8">
        <v>6000.0</v>
      </c>
      <c r="T19" s="2" t="s">
        <v>143</v>
      </c>
      <c r="U19" s="4" t="s">
        <v>81</v>
      </c>
      <c r="V19" s="2" t="s">
        <v>17</v>
      </c>
    </row>
    <row r="20" ht="60.0" customHeight="1">
      <c r="A20" s="2" t="s">
        <v>144</v>
      </c>
      <c r="B20" s="2" t="s">
        <v>15</v>
      </c>
      <c r="C20" s="4" t="s">
        <v>138</v>
      </c>
      <c r="D20" s="4" t="s">
        <v>145</v>
      </c>
      <c r="E20" s="4" t="s">
        <v>140</v>
      </c>
      <c r="F20" s="4" t="s">
        <v>76</v>
      </c>
      <c r="G20" s="2" t="b">
        <v>0</v>
      </c>
      <c r="H20" s="2" t="str">
        <f t="shared" si="1"/>
        <v>Dependency open</v>
      </c>
      <c r="I20" s="2"/>
      <c r="J20" s="2"/>
      <c r="K20" s="2"/>
      <c r="L20" s="2" t="s">
        <v>137</v>
      </c>
      <c r="M20" s="2"/>
      <c r="N20" s="2"/>
      <c r="O20" s="2" t="str">
        <f>IF(AND(OR(L20="",IFNA(VLOOKUP(L20,$A$6:$H$19,8,FALSE),"Missing")="Verified"),OR(M20="",IFNA(VLOOKUP(M20,$A$6:$H$19,8,FALSE),"Missing")="Verified"),OR(N20="",IFNA(VLOOKUP(N20,$A$6:$H$19,8,FALSE),"Missing")="Verified")),"Ready","Dependency open")</f>
        <v>Dependency open</v>
      </c>
      <c r="P20" s="4" t="s">
        <v>146</v>
      </c>
      <c r="Q20" s="4" t="s">
        <v>147</v>
      </c>
      <c r="R20" s="8"/>
      <c r="S20" s="8">
        <v>6000.0</v>
      </c>
      <c r="T20" s="2" t="s">
        <v>143</v>
      </c>
      <c r="U20" s="4" t="s">
        <v>81</v>
      </c>
      <c r="V20" s="2" t="s">
        <v>17</v>
      </c>
    </row>
    <row r="21" ht="60.0" customHeight="1">
      <c r="A21" s="2" t="s">
        <v>148</v>
      </c>
      <c r="B21" s="2" t="s">
        <v>15</v>
      </c>
      <c r="C21" s="4" t="s">
        <v>138</v>
      </c>
      <c r="D21" s="4" t="s">
        <v>149</v>
      </c>
      <c r="E21" s="4" t="s">
        <v>140</v>
      </c>
      <c r="F21" s="4" t="s">
        <v>76</v>
      </c>
      <c r="G21" s="2" t="b">
        <v>0</v>
      </c>
      <c r="H21" s="2" t="str">
        <f t="shared" si="1"/>
        <v>Dependency open</v>
      </c>
      <c r="I21" s="2"/>
      <c r="J21" s="2"/>
      <c r="K21" s="2"/>
      <c r="L21" s="2" t="s">
        <v>144</v>
      </c>
      <c r="M21" s="2"/>
      <c r="N21" s="2"/>
      <c r="O21" s="2" t="str">
        <f>IF(AND(OR(L21="",IFNA(VLOOKUP(L21,$A$6:$H$20,8,FALSE),"Missing")="Verified"),OR(M21="",IFNA(VLOOKUP(M21,$A$6:$H$20,8,FALSE),"Missing")="Verified"),OR(N21="",IFNA(VLOOKUP(N21,$A$6:$H$20,8,FALSE),"Missing")="Verified")),"Ready","Dependency open")</f>
        <v>Dependency open</v>
      </c>
      <c r="P21" s="4" t="s">
        <v>150</v>
      </c>
      <c r="Q21" s="4" t="s">
        <v>151</v>
      </c>
      <c r="R21" s="8"/>
      <c r="S21" s="8">
        <v>6000.0</v>
      </c>
      <c r="T21" s="2" t="s">
        <v>143</v>
      </c>
      <c r="U21" s="4" t="s">
        <v>81</v>
      </c>
      <c r="V21" s="2" t="s">
        <v>17</v>
      </c>
    </row>
    <row r="22" ht="60.0" customHeight="1">
      <c r="A22" s="2" t="s">
        <v>152</v>
      </c>
      <c r="B22" s="2" t="s">
        <v>15</v>
      </c>
      <c r="C22" s="4" t="s">
        <v>138</v>
      </c>
      <c r="D22" s="4" t="s">
        <v>153</v>
      </c>
      <c r="E22" s="4" t="s">
        <v>140</v>
      </c>
      <c r="F22" s="4" t="s">
        <v>76</v>
      </c>
      <c r="G22" s="2" t="b">
        <v>0</v>
      </c>
      <c r="H22" s="2" t="str">
        <f t="shared" si="1"/>
        <v>Dependency open</v>
      </c>
      <c r="I22" s="2"/>
      <c r="J22" s="2"/>
      <c r="K22" s="2"/>
      <c r="L22" s="2" t="s">
        <v>148</v>
      </c>
      <c r="M22" s="2"/>
      <c r="N22" s="2"/>
      <c r="O22" s="2" t="str">
        <f>IF(AND(OR(L22="",IFNA(VLOOKUP(L22,$A$6:$H$21,8,FALSE),"Missing")="Verified"),OR(M22="",IFNA(VLOOKUP(M22,$A$6:$H$21,8,FALSE),"Missing")="Verified"),OR(N22="",IFNA(VLOOKUP(N22,$A$6:$H$21,8,FALSE),"Missing")="Verified")),"Ready","Dependency open")</f>
        <v>Dependency open</v>
      </c>
      <c r="P22" s="4" t="s">
        <v>154</v>
      </c>
      <c r="Q22" s="4" t="s">
        <v>155</v>
      </c>
      <c r="R22" s="8"/>
      <c r="S22" s="8">
        <v>6000.0</v>
      </c>
      <c r="T22" s="2" t="s">
        <v>143</v>
      </c>
      <c r="U22" s="4" t="s">
        <v>81</v>
      </c>
      <c r="V22" s="2" t="s">
        <v>17</v>
      </c>
    </row>
    <row r="23" ht="60.0" customHeight="1">
      <c r="A23" s="2" t="s">
        <v>156</v>
      </c>
      <c r="B23" s="2" t="s">
        <v>15</v>
      </c>
      <c r="C23" s="4" t="s">
        <v>157</v>
      </c>
      <c r="D23" s="4" t="s">
        <v>158</v>
      </c>
      <c r="E23" s="4" t="s">
        <v>140</v>
      </c>
      <c r="F23" s="4" t="s">
        <v>76</v>
      </c>
      <c r="G23" s="2" t="b">
        <v>0</v>
      </c>
      <c r="H23" s="2" t="str">
        <f t="shared" si="1"/>
        <v>Dependency open</v>
      </c>
      <c r="I23" s="2"/>
      <c r="J23" s="2"/>
      <c r="K23" s="2"/>
      <c r="L23" s="2" t="s">
        <v>129</v>
      </c>
      <c r="M23" s="2"/>
      <c r="N23" s="2"/>
      <c r="O23" s="2" t="str">
        <f>IF(AND(OR(L23="",IFNA(VLOOKUP(L23,$A$6:$H$22,8,FALSE),"Missing")="Verified"),OR(M23="",IFNA(VLOOKUP(M23,$A$6:$H$22,8,FALSE),"Missing")="Verified"),OR(N23="",IFNA(VLOOKUP(N23,$A$6:$H$22,8,FALSE),"Missing")="Verified")),"Ready","Dependency open")</f>
        <v>Dependency open</v>
      </c>
      <c r="P23" s="4" t="s">
        <v>159</v>
      </c>
      <c r="Q23" s="4" t="s">
        <v>160</v>
      </c>
      <c r="R23" s="8"/>
      <c r="S23" s="8">
        <v>6000.0</v>
      </c>
      <c r="T23" s="2" t="s">
        <v>143</v>
      </c>
      <c r="U23" s="4" t="s">
        <v>81</v>
      </c>
      <c r="V23" s="2" t="s">
        <v>17</v>
      </c>
    </row>
    <row r="24" ht="60.0" customHeight="1">
      <c r="A24" s="2" t="s">
        <v>161</v>
      </c>
      <c r="B24" s="2" t="s">
        <v>15</v>
      </c>
      <c r="C24" s="4" t="s">
        <v>157</v>
      </c>
      <c r="D24" s="4" t="s">
        <v>162</v>
      </c>
      <c r="E24" s="4" t="s">
        <v>140</v>
      </c>
      <c r="F24" s="4" t="s">
        <v>76</v>
      </c>
      <c r="G24" s="2" t="b">
        <v>0</v>
      </c>
      <c r="H24" s="2" t="str">
        <f t="shared" si="1"/>
        <v>Dependency open</v>
      </c>
      <c r="I24" s="2"/>
      <c r="J24" s="2"/>
      <c r="K24" s="2"/>
      <c r="L24" s="2" t="s">
        <v>156</v>
      </c>
      <c r="M24" s="2"/>
      <c r="N24" s="2"/>
      <c r="O24" s="2" t="str">
        <f>IF(AND(OR(L24="",IFNA(VLOOKUP(L24,$A$6:$H$23,8,FALSE),"Missing")="Verified"),OR(M24="",IFNA(VLOOKUP(M24,$A$6:$H$23,8,FALSE),"Missing")="Verified"),OR(N24="",IFNA(VLOOKUP(N24,$A$6:$H$23,8,FALSE),"Missing")="Verified")),"Ready","Dependency open")</f>
        <v>Dependency open</v>
      </c>
      <c r="P24" s="4" t="s">
        <v>163</v>
      </c>
      <c r="Q24" s="4" t="s">
        <v>164</v>
      </c>
      <c r="R24" s="8"/>
      <c r="S24" s="8">
        <v>6000.0</v>
      </c>
      <c r="T24" s="2" t="s">
        <v>143</v>
      </c>
      <c r="U24" s="4" t="s">
        <v>81</v>
      </c>
      <c r="V24" s="2" t="s">
        <v>17</v>
      </c>
    </row>
    <row r="25" ht="60.0" customHeight="1">
      <c r="A25" s="2" t="s">
        <v>165</v>
      </c>
      <c r="B25" s="2" t="s">
        <v>15</v>
      </c>
      <c r="C25" s="4" t="s">
        <v>157</v>
      </c>
      <c r="D25" s="4" t="s">
        <v>166</v>
      </c>
      <c r="E25" s="4" t="s">
        <v>140</v>
      </c>
      <c r="F25" s="4" t="s">
        <v>76</v>
      </c>
      <c r="G25" s="2" t="b">
        <v>0</v>
      </c>
      <c r="H25" s="2" t="str">
        <f t="shared" si="1"/>
        <v>Dependency open</v>
      </c>
      <c r="I25" s="2"/>
      <c r="J25" s="2"/>
      <c r="K25" s="2"/>
      <c r="L25" s="2" t="s">
        <v>161</v>
      </c>
      <c r="M25" s="2"/>
      <c r="N25" s="2"/>
      <c r="O25" s="2" t="str">
        <f>IF(AND(OR(L25="",IFNA(VLOOKUP(L25,$A$6:$H$24,8,FALSE),"Missing")="Verified"),OR(M25="",IFNA(VLOOKUP(M25,$A$6:$H$24,8,FALSE),"Missing")="Verified"),OR(N25="",IFNA(VLOOKUP(N25,$A$6:$H$24,8,FALSE),"Missing")="Verified")),"Ready","Dependency open")</f>
        <v>Dependency open</v>
      </c>
      <c r="P25" s="4" t="s">
        <v>167</v>
      </c>
      <c r="Q25" s="4" t="s">
        <v>168</v>
      </c>
      <c r="R25" s="8"/>
      <c r="S25" s="8">
        <v>6000.0</v>
      </c>
      <c r="T25" s="2" t="s">
        <v>143</v>
      </c>
      <c r="U25" s="4" t="s">
        <v>81</v>
      </c>
      <c r="V25" s="2" t="s">
        <v>17</v>
      </c>
    </row>
    <row r="26" ht="60.0" customHeight="1">
      <c r="A26" s="2" t="s">
        <v>169</v>
      </c>
      <c r="B26" s="2" t="s">
        <v>15</v>
      </c>
      <c r="C26" s="4" t="s">
        <v>157</v>
      </c>
      <c r="D26" s="4" t="s">
        <v>170</v>
      </c>
      <c r="E26" s="4" t="s">
        <v>140</v>
      </c>
      <c r="F26" s="4" t="s">
        <v>76</v>
      </c>
      <c r="G26" s="2" t="b">
        <v>0</v>
      </c>
      <c r="H26" s="2" t="str">
        <f t="shared" si="1"/>
        <v>Dependency open</v>
      </c>
      <c r="I26" s="2"/>
      <c r="J26" s="2"/>
      <c r="K26" s="2"/>
      <c r="L26" s="2" t="s">
        <v>165</v>
      </c>
      <c r="M26" s="2"/>
      <c r="N26" s="2"/>
      <c r="O26" s="2" t="str">
        <f>IF(AND(OR(L26="",IFNA(VLOOKUP(L26,$A$6:$H$25,8,FALSE),"Missing")="Verified"),OR(M26="",IFNA(VLOOKUP(M26,$A$6:$H$25,8,FALSE),"Missing")="Verified"),OR(N26="",IFNA(VLOOKUP(N26,$A$6:$H$25,8,FALSE),"Missing")="Verified")),"Ready","Dependency open")</f>
        <v>Dependency open</v>
      </c>
      <c r="P26" s="4" t="s">
        <v>171</v>
      </c>
      <c r="Q26" s="4" t="s">
        <v>172</v>
      </c>
      <c r="R26" s="8"/>
      <c r="S26" s="8">
        <v>6000.0</v>
      </c>
      <c r="T26" s="2" t="s">
        <v>143</v>
      </c>
      <c r="U26" s="4" t="s">
        <v>81</v>
      </c>
      <c r="V26" s="2" t="s">
        <v>17</v>
      </c>
    </row>
    <row r="27" ht="60.0" customHeight="1">
      <c r="A27" s="2" t="s">
        <v>173</v>
      </c>
      <c r="B27" s="2" t="s">
        <v>15</v>
      </c>
      <c r="C27" s="4" t="s">
        <v>174</v>
      </c>
      <c r="D27" s="4" t="s">
        <v>175</v>
      </c>
      <c r="E27" s="4" t="s">
        <v>176</v>
      </c>
      <c r="F27" s="4" t="s">
        <v>76</v>
      </c>
      <c r="G27" s="2" t="b">
        <v>0</v>
      </c>
      <c r="H27" s="2" t="str">
        <f t="shared" si="1"/>
        <v>Dependency open</v>
      </c>
      <c r="I27" s="2"/>
      <c r="J27" s="2"/>
      <c r="K27" s="2"/>
      <c r="L27" s="2" t="s">
        <v>129</v>
      </c>
      <c r="M27" s="2"/>
      <c r="N27" s="2"/>
      <c r="O27" s="2" t="str">
        <f>IF(AND(OR(L27="",IFNA(VLOOKUP(L27,$A$6:$H$26,8,FALSE),"Missing")="Verified"),OR(M27="",IFNA(VLOOKUP(M27,$A$6:$H$26,8,FALSE),"Missing")="Verified"),OR(N27="",IFNA(VLOOKUP(N27,$A$6:$H$26,8,FALSE),"Missing")="Verified")),"Ready","Dependency open")</f>
        <v>Dependency open</v>
      </c>
      <c r="P27" s="4" t="s">
        <v>177</v>
      </c>
      <c r="Q27" s="4" t="s">
        <v>178</v>
      </c>
      <c r="R27" s="8"/>
      <c r="S27" s="8">
        <v>6000.0</v>
      </c>
      <c r="T27" s="2" t="s">
        <v>143</v>
      </c>
      <c r="U27" s="4" t="s">
        <v>81</v>
      </c>
      <c r="V27" s="2" t="s">
        <v>17</v>
      </c>
    </row>
    <row r="28" ht="60.0" customHeight="1">
      <c r="A28" s="2" t="s">
        <v>179</v>
      </c>
      <c r="B28" s="2" t="s">
        <v>15</v>
      </c>
      <c r="C28" s="4" t="s">
        <v>174</v>
      </c>
      <c r="D28" s="4" t="s">
        <v>180</v>
      </c>
      <c r="E28" s="4" t="s">
        <v>176</v>
      </c>
      <c r="F28" s="4" t="s">
        <v>76</v>
      </c>
      <c r="G28" s="2" t="b">
        <v>0</v>
      </c>
      <c r="H28" s="2" t="str">
        <f t="shared" si="1"/>
        <v>Dependency open</v>
      </c>
      <c r="I28" s="2"/>
      <c r="J28" s="2"/>
      <c r="K28" s="2"/>
      <c r="L28" s="2" t="s">
        <v>173</v>
      </c>
      <c r="M28" s="2"/>
      <c r="N28" s="2"/>
      <c r="O28" s="2" t="str">
        <f>IF(AND(OR(L28="",IFNA(VLOOKUP(L28,$A$6:$H$27,8,FALSE),"Missing")="Verified"),OR(M28="",IFNA(VLOOKUP(M28,$A$6:$H$27,8,FALSE),"Missing")="Verified"),OR(N28="",IFNA(VLOOKUP(N28,$A$6:$H$27,8,FALSE),"Missing")="Verified")),"Ready","Dependency open")</f>
        <v>Dependency open</v>
      </c>
      <c r="P28" s="4" t="s">
        <v>181</v>
      </c>
      <c r="Q28" s="4" t="s">
        <v>182</v>
      </c>
      <c r="R28" s="8"/>
      <c r="S28" s="8">
        <v>6000.0</v>
      </c>
      <c r="T28" s="2" t="s">
        <v>143</v>
      </c>
      <c r="U28" s="4" t="s">
        <v>81</v>
      </c>
      <c r="V28" s="2" t="s">
        <v>17</v>
      </c>
    </row>
    <row r="29" ht="60.0" customHeight="1">
      <c r="A29" s="2" t="s">
        <v>183</v>
      </c>
      <c r="B29" s="2" t="s">
        <v>15</v>
      </c>
      <c r="C29" s="4" t="s">
        <v>174</v>
      </c>
      <c r="D29" s="4" t="s">
        <v>184</v>
      </c>
      <c r="E29" s="4" t="s">
        <v>176</v>
      </c>
      <c r="F29" s="4" t="s">
        <v>76</v>
      </c>
      <c r="G29" s="2" t="b">
        <v>0</v>
      </c>
      <c r="H29" s="2" t="str">
        <f t="shared" si="1"/>
        <v>Dependency open</v>
      </c>
      <c r="I29" s="2"/>
      <c r="J29" s="2"/>
      <c r="K29" s="2"/>
      <c r="L29" s="2" t="s">
        <v>179</v>
      </c>
      <c r="M29" s="2"/>
      <c r="N29" s="2"/>
      <c r="O29" s="2" t="str">
        <f>IF(AND(OR(L29="",IFNA(VLOOKUP(L29,$A$6:$H$28,8,FALSE),"Missing")="Verified"),OR(M29="",IFNA(VLOOKUP(M29,$A$6:$H$28,8,FALSE),"Missing")="Verified"),OR(N29="",IFNA(VLOOKUP(N29,$A$6:$H$28,8,FALSE),"Missing")="Verified")),"Ready","Dependency open")</f>
        <v>Dependency open</v>
      </c>
      <c r="P29" s="4" t="s">
        <v>185</v>
      </c>
      <c r="Q29" s="4" t="s">
        <v>186</v>
      </c>
      <c r="R29" s="8"/>
      <c r="S29" s="8">
        <v>6000.0</v>
      </c>
      <c r="T29" s="2" t="s">
        <v>143</v>
      </c>
      <c r="U29" s="4" t="s">
        <v>81</v>
      </c>
      <c r="V29" s="2" t="s">
        <v>17</v>
      </c>
    </row>
    <row r="30" ht="60.0" customHeight="1">
      <c r="A30" s="2" t="s">
        <v>187</v>
      </c>
      <c r="B30" s="2" t="s">
        <v>15</v>
      </c>
      <c r="C30" s="4" t="s">
        <v>174</v>
      </c>
      <c r="D30" s="4" t="s">
        <v>188</v>
      </c>
      <c r="E30" s="4" t="s">
        <v>176</v>
      </c>
      <c r="F30" s="4" t="s">
        <v>76</v>
      </c>
      <c r="G30" s="2" t="b">
        <v>0</v>
      </c>
      <c r="H30" s="2" t="str">
        <f t="shared" si="1"/>
        <v>Dependency open</v>
      </c>
      <c r="I30" s="2"/>
      <c r="J30" s="2"/>
      <c r="K30" s="2"/>
      <c r="L30" s="2" t="s">
        <v>183</v>
      </c>
      <c r="M30" s="2"/>
      <c r="N30" s="2"/>
      <c r="O30" s="2" t="str">
        <f>IF(AND(OR(L30="",IFNA(VLOOKUP(L30,$A$6:$H$29,8,FALSE),"Missing")="Verified"),OR(M30="",IFNA(VLOOKUP(M30,$A$6:$H$29,8,FALSE),"Missing")="Verified"),OR(N30="",IFNA(VLOOKUP(N30,$A$6:$H$29,8,FALSE),"Missing")="Verified")),"Ready","Dependency open")</f>
        <v>Dependency open</v>
      </c>
      <c r="P30" s="4" t="s">
        <v>189</v>
      </c>
      <c r="Q30" s="4" t="s">
        <v>190</v>
      </c>
      <c r="R30" s="8"/>
      <c r="S30" s="8">
        <v>6000.0</v>
      </c>
      <c r="T30" s="2" t="s">
        <v>143</v>
      </c>
      <c r="U30" s="4" t="s">
        <v>81</v>
      </c>
      <c r="V30" s="2" t="s">
        <v>17</v>
      </c>
    </row>
    <row r="31" ht="60.0" customHeight="1">
      <c r="A31" s="2" t="s">
        <v>191</v>
      </c>
      <c r="B31" s="2" t="s">
        <v>15</v>
      </c>
      <c r="C31" s="4" t="s">
        <v>192</v>
      </c>
      <c r="D31" s="4" t="s">
        <v>193</v>
      </c>
      <c r="E31" s="4" t="s">
        <v>132</v>
      </c>
      <c r="F31" s="4" t="s">
        <v>76</v>
      </c>
      <c r="G31" s="2" t="b">
        <v>0</v>
      </c>
      <c r="H31" s="2" t="str">
        <f t="shared" si="1"/>
        <v>Dependency open</v>
      </c>
      <c r="I31" s="2"/>
      <c r="J31" s="2"/>
      <c r="K31" s="2"/>
      <c r="L31" s="2" t="s">
        <v>152</v>
      </c>
      <c r="M31" s="2" t="s">
        <v>169</v>
      </c>
      <c r="N31" s="2" t="s">
        <v>187</v>
      </c>
      <c r="O31" s="2" t="str">
        <f>IF(AND(OR(L31="",IFNA(VLOOKUP(L31,$A$6:$H$30,8,FALSE),"Missing")="Verified"),OR(M31="",IFNA(VLOOKUP(M31,$A$6:$H$30,8,FALSE),"Missing")="Verified"),OR(N31="",IFNA(VLOOKUP(N31,$A$6:$H$30,8,FALSE),"Missing")="Verified")),"Ready","Dependency open")</f>
        <v>Dependency open</v>
      </c>
      <c r="P31" s="4" t="s">
        <v>133</v>
      </c>
      <c r="Q31" s="4" t="s">
        <v>134</v>
      </c>
      <c r="R31" s="8"/>
      <c r="S31" s="8">
        <v>4000.0</v>
      </c>
      <c r="T31" s="2" t="s">
        <v>194</v>
      </c>
      <c r="U31" s="4" t="s">
        <v>136</v>
      </c>
      <c r="V31" s="2" t="s">
        <v>17</v>
      </c>
    </row>
    <row r="32" ht="60.0" customHeight="1">
      <c r="A32" s="2" t="s">
        <v>195</v>
      </c>
      <c r="B32" s="2" t="s">
        <v>18</v>
      </c>
      <c r="C32" s="4" t="s">
        <v>196</v>
      </c>
      <c r="D32" s="4" t="s">
        <v>197</v>
      </c>
      <c r="E32" s="4" t="s">
        <v>140</v>
      </c>
      <c r="F32" s="4" t="s">
        <v>76</v>
      </c>
      <c r="G32" s="2" t="b">
        <v>0</v>
      </c>
      <c r="H32" s="2" t="str">
        <f t="shared" si="1"/>
        <v>Dependency open</v>
      </c>
      <c r="I32" s="2"/>
      <c r="J32" s="2"/>
      <c r="K32" s="2"/>
      <c r="L32" s="2" t="s">
        <v>191</v>
      </c>
      <c r="M32" s="2"/>
      <c r="N32" s="2"/>
      <c r="O32" s="2" t="str">
        <f>IF(AND(OR(L32="",IFNA(VLOOKUP(L32,$A$6:$H$31,8,FALSE),"Missing")="Verified"),OR(M32="",IFNA(VLOOKUP(M32,$A$6:$H$31,8,FALSE),"Missing")="Verified"),OR(N32="",IFNA(VLOOKUP(N32,$A$6:$H$31,8,FALSE),"Missing")="Verified")),"Ready","Dependency open")</f>
        <v>Dependency open</v>
      </c>
      <c r="P32" s="4" t="s">
        <v>198</v>
      </c>
      <c r="Q32" s="4" t="s">
        <v>199</v>
      </c>
      <c r="R32" s="8"/>
      <c r="S32" s="8">
        <v>6000.0</v>
      </c>
      <c r="T32" s="2" t="s">
        <v>200</v>
      </c>
      <c r="U32" s="4" t="s">
        <v>81</v>
      </c>
      <c r="V32" s="2" t="s">
        <v>17</v>
      </c>
    </row>
    <row r="33" ht="60.0" customHeight="1">
      <c r="A33" s="2" t="s">
        <v>201</v>
      </c>
      <c r="B33" s="2" t="s">
        <v>18</v>
      </c>
      <c r="C33" s="4" t="s">
        <v>196</v>
      </c>
      <c r="D33" s="4" t="s">
        <v>202</v>
      </c>
      <c r="E33" s="4" t="s">
        <v>140</v>
      </c>
      <c r="F33" s="4" t="s">
        <v>76</v>
      </c>
      <c r="G33" s="2" t="b">
        <v>0</v>
      </c>
      <c r="H33" s="2" t="str">
        <f t="shared" si="1"/>
        <v>Dependency open</v>
      </c>
      <c r="I33" s="2"/>
      <c r="J33" s="2"/>
      <c r="K33" s="2"/>
      <c r="L33" s="2" t="s">
        <v>195</v>
      </c>
      <c r="M33" s="2"/>
      <c r="N33" s="2"/>
      <c r="O33" s="2" t="str">
        <f>IF(AND(OR(L33="",IFNA(VLOOKUP(L33,$A$6:$H$32,8,FALSE),"Missing")="Verified"),OR(M33="",IFNA(VLOOKUP(M33,$A$6:$H$32,8,FALSE),"Missing")="Verified"),OR(N33="",IFNA(VLOOKUP(N33,$A$6:$H$32,8,FALSE),"Missing")="Verified")),"Ready","Dependency open")</f>
        <v>Dependency open</v>
      </c>
      <c r="P33" s="4" t="s">
        <v>203</v>
      </c>
      <c r="Q33" s="4" t="s">
        <v>204</v>
      </c>
      <c r="R33" s="8"/>
      <c r="S33" s="8">
        <v>6000.0</v>
      </c>
      <c r="T33" s="2" t="s">
        <v>200</v>
      </c>
      <c r="U33" s="4" t="s">
        <v>81</v>
      </c>
      <c r="V33" s="2" t="s">
        <v>17</v>
      </c>
    </row>
    <row r="34" ht="60.0" customHeight="1">
      <c r="A34" s="2" t="s">
        <v>205</v>
      </c>
      <c r="B34" s="2" t="s">
        <v>18</v>
      </c>
      <c r="C34" s="4" t="s">
        <v>196</v>
      </c>
      <c r="D34" s="4" t="s">
        <v>206</v>
      </c>
      <c r="E34" s="4" t="s">
        <v>140</v>
      </c>
      <c r="F34" s="4" t="s">
        <v>76</v>
      </c>
      <c r="G34" s="2" t="b">
        <v>0</v>
      </c>
      <c r="H34" s="2" t="str">
        <f t="shared" si="1"/>
        <v>Dependency open</v>
      </c>
      <c r="I34" s="2"/>
      <c r="J34" s="2"/>
      <c r="K34" s="2"/>
      <c r="L34" s="2" t="s">
        <v>201</v>
      </c>
      <c r="M34" s="2"/>
      <c r="N34" s="2"/>
      <c r="O34" s="2" t="str">
        <f>IF(AND(OR(L34="",IFNA(VLOOKUP(L34,$A$6:$H$33,8,FALSE),"Missing")="Verified"),OR(M34="",IFNA(VLOOKUP(M34,$A$6:$H$33,8,FALSE),"Missing")="Verified"),OR(N34="",IFNA(VLOOKUP(N34,$A$6:$H$33,8,FALSE),"Missing")="Verified")),"Ready","Dependency open")</f>
        <v>Dependency open</v>
      </c>
      <c r="P34" s="4" t="s">
        <v>207</v>
      </c>
      <c r="Q34" s="4" t="s">
        <v>208</v>
      </c>
      <c r="R34" s="8"/>
      <c r="S34" s="8">
        <v>6000.0</v>
      </c>
      <c r="T34" s="2" t="s">
        <v>200</v>
      </c>
      <c r="U34" s="4" t="s">
        <v>81</v>
      </c>
      <c r="V34" s="2" t="s">
        <v>17</v>
      </c>
    </row>
    <row r="35" ht="60.0" customHeight="1">
      <c r="A35" s="2" t="s">
        <v>209</v>
      </c>
      <c r="B35" s="2" t="s">
        <v>18</v>
      </c>
      <c r="C35" s="4" t="s">
        <v>196</v>
      </c>
      <c r="D35" s="4" t="s">
        <v>210</v>
      </c>
      <c r="E35" s="4" t="s">
        <v>140</v>
      </c>
      <c r="F35" s="4" t="s">
        <v>76</v>
      </c>
      <c r="G35" s="2" t="b">
        <v>0</v>
      </c>
      <c r="H35" s="2" t="str">
        <f t="shared" si="1"/>
        <v>Dependency open</v>
      </c>
      <c r="I35" s="2"/>
      <c r="J35" s="2"/>
      <c r="K35" s="2"/>
      <c r="L35" s="2" t="s">
        <v>205</v>
      </c>
      <c r="M35" s="2"/>
      <c r="N35" s="2"/>
      <c r="O35" s="2" t="str">
        <f>IF(AND(OR(L35="",IFNA(VLOOKUP(L35,$A$6:$H$34,8,FALSE),"Missing")="Verified"),OR(M35="",IFNA(VLOOKUP(M35,$A$6:$H$34,8,FALSE),"Missing")="Verified"),OR(N35="",IFNA(VLOOKUP(N35,$A$6:$H$34,8,FALSE),"Missing")="Verified")),"Ready","Dependency open")</f>
        <v>Dependency open</v>
      </c>
      <c r="P35" s="4" t="s">
        <v>211</v>
      </c>
      <c r="Q35" s="4" t="s">
        <v>212</v>
      </c>
      <c r="R35" s="8"/>
      <c r="S35" s="8">
        <v>6000.0</v>
      </c>
      <c r="T35" s="2" t="s">
        <v>200</v>
      </c>
      <c r="U35" s="4" t="s">
        <v>81</v>
      </c>
      <c r="V35" s="2" t="s">
        <v>17</v>
      </c>
    </row>
    <row r="36" ht="60.0" customHeight="1">
      <c r="A36" s="2" t="s">
        <v>213</v>
      </c>
      <c r="B36" s="2" t="s">
        <v>18</v>
      </c>
      <c r="C36" s="4" t="s">
        <v>214</v>
      </c>
      <c r="D36" s="4" t="s">
        <v>215</v>
      </c>
      <c r="E36" s="4" t="s">
        <v>216</v>
      </c>
      <c r="F36" s="4" t="s">
        <v>76</v>
      </c>
      <c r="G36" s="2" t="b">
        <v>0</v>
      </c>
      <c r="H36" s="2" t="str">
        <f t="shared" si="1"/>
        <v>Dependency open</v>
      </c>
      <c r="I36" s="2"/>
      <c r="J36" s="2"/>
      <c r="K36" s="2"/>
      <c r="L36" s="2" t="s">
        <v>191</v>
      </c>
      <c r="M36" s="2"/>
      <c r="N36" s="2"/>
      <c r="O36" s="2" t="str">
        <f>IF(AND(OR(L36="",IFNA(VLOOKUP(L36,$A$6:$H$35,8,FALSE),"Missing")="Verified"),OR(M36="",IFNA(VLOOKUP(M36,$A$6:$H$35,8,FALSE),"Missing")="Verified"),OR(N36="",IFNA(VLOOKUP(N36,$A$6:$H$35,8,FALSE),"Missing")="Verified")),"Ready","Dependency open")</f>
        <v>Dependency open</v>
      </c>
      <c r="P36" s="4" t="s">
        <v>217</v>
      </c>
      <c r="Q36" s="4" t="s">
        <v>218</v>
      </c>
      <c r="R36" s="8"/>
      <c r="S36" s="8">
        <v>6000.0</v>
      </c>
      <c r="T36" s="2" t="s">
        <v>200</v>
      </c>
      <c r="U36" s="4" t="s">
        <v>81</v>
      </c>
      <c r="V36" s="2" t="s">
        <v>17</v>
      </c>
    </row>
    <row r="37" ht="60.0" customHeight="1">
      <c r="A37" s="2" t="s">
        <v>219</v>
      </c>
      <c r="B37" s="2" t="s">
        <v>18</v>
      </c>
      <c r="C37" s="4" t="s">
        <v>214</v>
      </c>
      <c r="D37" s="4" t="s">
        <v>220</v>
      </c>
      <c r="E37" s="4" t="s">
        <v>216</v>
      </c>
      <c r="F37" s="4" t="s">
        <v>76</v>
      </c>
      <c r="G37" s="2" t="b">
        <v>0</v>
      </c>
      <c r="H37" s="2" t="str">
        <f t="shared" si="1"/>
        <v>Dependency open</v>
      </c>
      <c r="I37" s="2"/>
      <c r="J37" s="2"/>
      <c r="K37" s="2"/>
      <c r="L37" s="2" t="s">
        <v>213</v>
      </c>
      <c r="M37" s="2"/>
      <c r="N37" s="2"/>
      <c r="O37" s="2" t="str">
        <f>IF(AND(OR(L37="",IFNA(VLOOKUP(L37,$A$6:$H$36,8,FALSE),"Missing")="Verified"),OR(M37="",IFNA(VLOOKUP(M37,$A$6:$H$36,8,FALSE),"Missing")="Verified"),OR(N37="",IFNA(VLOOKUP(N37,$A$6:$H$36,8,FALSE),"Missing")="Verified")),"Ready","Dependency open")</f>
        <v>Dependency open</v>
      </c>
      <c r="P37" s="4" t="s">
        <v>221</v>
      </c>
      <c r="Q37" s="4" t="s">
        <v>222</v>
      </c>
      <c r="R37" s="8"/>
      <c r="S37" s="8">
        <v>6000.0</v>
      </c>
      <c r="T37" s="2" t="s">
        <v>200</v>
      </c>
      <c r="U37" s="4" t="s">
        <v>81</v>
      </c>
      <c r="V37" s="2" t="s">
        <v>17</v>
      </c>
    </row>
    <row r="38" ht="60.0" customHeight="1">
      <c r="A38" s="2" t="s">
        <v>223</v>
      </c>
      <c r="B38" s="2" t="s">
        <v>18</v>
      </c>
      <c r="C38" s="4" t="s">
        <v>214</v>
      </c>
      <c r="D38" s="4" t="s">
        <v>224</v>
      </c>
      <c r="E38" s="4" t="s">
        <v>216</v>
      </c>
      <c r="F38" s="4" t="s">
        <v>76</v>
      </c>
      <c r="G38" s="2" t="b">
        <v>0</v>
      </c>
      <c r="H38" s="2" t="str">
        <f t="shared" si="1"/>
        <v>Dependency open</v>
      </c>
      <c r="I38" s="2"/>
      <c r="J38" s="2"/>
      <c r="K38" s="2"/>
      <c r="L38" s="2" t="s">
        <v>219</v>
      </c>
      <c r="M38" s="2"/>
      <c r="N38" s="2"/>
      <c r="O38" s="2" t="str">
        <f>IF(AND(OR(L38="",IFNA(VLOOKUP(L38,$A$6:$H$37,8,FALSE),"Missing")="Verified"),OR(M38="",IFNA(VLOOKUP(M38,$A$6:$H$37,8,FALSE),"Missing")="Verified"),OR(N38="",IFNA(VLOOKUP(N38,$A$6:$H$37,8,FALSE),"Missing")="Verified")),"Ready","Dependency open")</f>
        <v>Dependency open</v>
      </c>
      <c r="P38" s="4" t="s">
        <v>225</v>
      </c>
      <c r="Q38" s="4" t="s">
        <v>226</v>
      </c>
      <c r="R38" s="8"/>
      <c r="S38" s="8">
        <v>6000.0</v>
      </c>
      <c r="T38" s="2" t="s">
        <v>200</v>
      </c>
      <c r="U38" s="4" t="s">
        <v>81</v>
      </c>
      <c r="V38" s="2" t="s">
        <v>17</v>
      </c>
    </row>
    <row r="39" ht="60.0" customHeight="1">
      <c r="A39" s="2" t="s">
        <v>227</v>
      </c>
      <c r="B39" s="2" t="s">
        <v>18</v>
      </c>
      <c r="C39" s="4" t="s">
        <v>214</v>
      </c>
      <c r="D39" s="4" t="s">
        <v>228</v>
      </c>
      <c r="E39" s="4" t="s">
        <v>216</v>
      </c>
      <c r="F39" s="4" t="s">
        <v>76</v>
      </c>
      <c r="G39" s="2" t="b">
        <v>0</v>
      </c>
      <c r="H39" s="2" t="str">
        <f t="shared" si="1"/>
        <v>Dependency open</v>
      </c>
      <c r="I39" s="2"/>
      <c r="J39" s="2"/>
      <c r="K39" s="2"/>
      <c r="L39" s="2" t="s">
        <v>223</v>
      </c>
      <c r="M39" s="2"/>
      <c r="N39" s="2"/>
      <c r="O39" s="2" t="str">
        <f>IF(AND(OR(L39="",IFNA(VLOOKUP(L39,$A$6:$H$38,8,FALSE),"Missing")="Verified"),OR(M39="",IFNA(VLOOKUP(M39,$A$6:$H$38,8,FALSE),"Missing")="Verified"),OR(N39="",IFNA(VLOOKUP(N39,$A$6:$H$38,8,FALSE),"Missing")="Verified")),"Ready","Dependency open")</f>
        <v>Dependency open</v>
      </c>
      <c r="P39" s="4" t="s">
        <v>229</v>
      </c>
      <c r="Q39" s="4" t="s">
        <v>230</v>
      </c>
      <c r="R39" s="8"/>
      <c r="S39" s="8">
        <v>6000.0</v>
      </c>
      <c r="T39" s="2" t="s">
        <v>200</v>
      </c>
      <c r="U39" s="4" t="s">
        <v>81</v>
      </c>
      <c r="V39" s="2" t="s">
        <v>17</v>
      </c>
    </row>
    <row r="40" ht="60.0" customHeight="1">
      <c r="A40" s="2" t="s">
        <v>231</v>
      </c>
      <c r="B40" s="2" t="s">
        <v>18</v>
      </c>
      <c r="C40" s="4" t="s">
        <v>232</v>
      </c>
      <c r="D40" s="4" t="s">
        <v>233</v>
      </c>
      <c r="E40" s="4" t="s">
        <v>234</v>
      </c>
      <c r="F40" s="4" t="s">
        <v>76</v>
      </c>
      <c r="G40" s="2" t="b">
        <v>0</v>
      </c>
      <c r="H40" s="2" t="str">
        <f t="shared" si="1"/>
        <v>Dependency open</v>
      </c>
      <c r="I40" s="2"/>
      <c r="J40" s="2"/>
      <c r="K40" s="2"/>
      <c r="L40" s="2" t="s">
        <v>191</v>
      </c>
      <c r="M40" s="2"/>
      <c r="N40" s="2"/>
      <c r="O40" s="2" t="str">
        <f>IF(AND(OR(L40="",IFNA(VLOOKUP(L40,$A$6:$H$39,8,FALSE),"Missing")="Verified"),OR(M40="",IFNA(VLOOKUP(M40,$A$6:$H$39,8,FALSE),"Missing")="Verified"),OR(N40="",IFNA(VLOOKUP(N40,$A$6:$H$39,8,FALSE),"Missing")="Verified")),"Ready","Dependency open")</f>
        <v>Dependency open</v>
      </c>
      <c r="P40" s="4" t="s">
        <v>235</v>
      </c>
      <c r="Q40" s="4" t="s">
        <v>236</v>
      </c>
      <c r="R40" s="8"/>
      <c r="S40" s="8">
        <v>6000.0</v>
      </c>
      <c r="T40" s="2" t="s">
        <v>200</v>
      </c>
      <c r="U40" s="4" t="s">
        <v>81</v>
      </c>
      <c r="V40" s="2" t="s">
        <v>17</v>
      </c>
    </row>
    <row r="41" ht="60.0" customHeight="1">
      <c r="A41" s="2" t="s">
        <v>237</v>
      </c>
      <c r="B41" s="2" t="s">
        <v>18</v>
      </c>
      <c r="C41" s="4" t="s">
        <v>232</v>
      </c>
      <c r="D41" s="4" t="s">
        <v>238</v>
      </c>
      <c r="E41" s="4" t="s">
        <v>234</v>
      </c>
      <c r="F41" s="4" t="s">
        <v>76</v>
      </c>
      <c r="G41" s="2" t="b">
        <v>0</v>
      </c>
      <c r="H41" s="2" t="str">
        <f t="shared" si="1"/>
        <v>Dependency open</v>
      </c>
      <c r="I41" s="2"/>
      <c r="J41" s="2"/>
      <c r="K41" s="2"/>
      <c r="L41" s="2" t="s">
        <v>231</v>
      </c>
      <c r="M41" s="2"/>
      <c r="N41" s="2"/>
      <c r="O41" s="2" t="str">
        <f>IF(AND(OR(L41="",IFNA(VLOOKUP(L41,$A$6:$H$40,8,FALSE),"Missing")="Verified"),OR(M41="",IFNA(VLOOKUP(M41,$A$6:$H$40,8,FALSE),"Missing")="Verified"),OR(N41="",IFNA(VLOOKUP(N41,$A$6:$H$40,8,FALSE),"Missing")="Verified")),"Ready","Dependency open")</f>
        <v>Dependency open</v>
      </c>
      <c r="P41" s="4" t="s">
        <v>239</v>
      </c>
      <c r="Q41" s="4" t="s">
        <v>240</v>
      </c>
      <c r="R41" s="8"/>
      <c r="S41" s="8">
        <v>6000.0</v>
      </c>
      <c r="T41" s="2" t="s">
        <v>200</v>
      </c>
      <c r="U41" s="4" t="s">
        <v>81</v>
      </c>
      <c r="V41" s="2" t="s">
        <v>17</v>
      </c>
    </row>
    <row r="42" ht="60.0" customHeight="1">
      <c r="A42" s="2" t="s">
        <v>241</v>
      </c>
      <c r="B42" s="2" t="s">
        <v>18</v>
      </c>
      <c r="C42" s="4" t="s">
        <v>232</v>
      </c>
      <c r="D42" s="4" t="s">
        <v>242</v>
      </c>
      <c r="E42" s="4" t="s">
        <v>234</v>
      </c>
      <c r="F42" s="4" t="s">
        <v>76</v>
      </c>
      <c r="G42" s="2" t="b">
        <v>0</v>
      </c>
      <c r="H42" s="2" t="str">
        <f t="shared" si="1"/>
        <v>Dependency open</v>
      </c>
      <c r="I42" s="2"/>
      <c r="J42" s="2"/>
      <c r="K42" s="2"/>
      <c r="L42" s="2" t="s">
        <v>237</v>
      </c>
      <c r="M42" s="2"/>
      <c r="N42" s="2"/>
      <c r="O42" s="2" t="str">
        <f>IF(AND(OR(L42="",IFNA(VLOOKUP(L42,$A$6:$H$41,8,FALSE),"Missing")="Verified"),OR(M42="",IFNA(VLOOKUP(M42,$A$6:$H$41,8,FALSE),"Missing")="Verified"),OR(N42="",IFNA(VLOOKUP(N42,$A$6:$H$41,8,FALSE),"Missing")="Verified")),"Ready","Dependency open")</f>
        <v>Dependency open</v>
      </c>
      <c r="P42" s="4" t="s">
        <v>243</v>
      </c>
      <c r="Q42" s="4" t="s">
        <v>244</v>
      </c>
      <c r="R42" s="8"/>
      <c r="S42" s="8">
        <v>6000.0</v>
      </c>
      <c r="T42" s="2" t="s">
        <v>200</v>
      </c>
      <c r="U42" s="4" t="s">
        <v>81</v>
      </c>
      <c r="V42" s="2" t="s">
        <v>17</v>
      </c>
    </row>
    <row r="43" ht="60.0" customHeight="1">
      <c r="A43" s="2" t="s">
        <v>245</v>
      </c>
      <c r="B43" s="2" t="s">
        <v>18</v>
      </c>
      <c r="C43" s="4" t="s">
        <v>232</v>
      </c>
      <c r="D43" s="4" t="s">
        <v>246</v>
      </c>
      <c r="E43" s="4" t="s">
        <v>234</v>
      </c>
      <c r="F43" s="4" t="s">
        <v>76</v>
      </c>
      <c r="G43" s="2" t="b">
        <v>0</v>
      </c>
      <c r="H43" s="2" t="str">
        <f t="shared" si="1"/>
        <v>Dependency open</v>
      </c>
      <c r="I43" s="2"/>
      <c r="J43" s="2"/>
      <c r="K43" s="2"/>
      <c r="L43" s="2" t="s">
        <v>241</v>
      </c>
      <c r="M43" s="2"/>
      <c r="N43" s="2"/>
      <c r="O43" s="2" t="str">
        <f>IF(AND(OR(L43="",IFNA(VLOOKUP(L43,$A$6:$H$42,8,FALSE),"Missing")="Verified"),OR(M43="",IFNA(VLOOKUP(M43,$A$6:$H$42,8,FALSE),"Missing")="Verified"),OR(N43="",IFNA(VLOOKUP(N43,$A$6:$H$42,8,FALSE),"Missing")="Verified")),"Ready","Dependency open")</f>
        <v>Dependency open</v>
      </c>
      <c r="P43" s="4" t="s">
        <v>247</v>
      </c>
      <c r="Q43" s="4" t="s">
        <v>248</v>
      </c>
      <c r="R43" s="8"/>
      <c r="S43" s="8">
        <v>6000.0</v>
      </c>
      <c r="T43" s="2" t="s">
        <v>200</v>
      </c>
      <c r="U43" s="4" t="s">
        <v>81</v>
      </c>
      <c r="V43" s="2" t="s">
        <v>17</v>
      </c>
    </row>
    <row r="44" ht="60.0" customHeight="1">
      <c r="A44" s="2" t="s">
        <v>249</v>
      </c>
      <c r="B44" s="2" t="s">
        <v>18</v>
      </c>
      <c r="C44" s="4" t="s">
        <v>250</v>
      </c>
      <c r="D44" s="4" t="s">
        <v>251</v>
      </c>
      <c r="E44" s="4" t="s">
        <v>132</v>
      </c>
      <c r="F44" s="4" t="s">
        <v>76</v>
      </c>
      <c r="G44" s="2" t="b">
        <v>0</v>
      </c>
      <c r="H44" s="2" t="str">
        <f t="shared" si="1"/>
        <v>Dependency open</v>
      </c>
      <c r="I44" s="2"/>
      <c r="J44" s="2"/>
      <c r="K44" s="2"/>
      <c r="L44" s="2" t="s">
        <v>209</v>
      </c>
      <c r="M44" s="2" t="s">
        <v>227</v>
      </c>
      <c r="N44" s="2" t="s">
        <v>245</v>
      </c>
      <c r="O44" s="2" t="str">
        <f>IF(AND(OR(L44="",IFNA(VLOOKUP(L44,$A$6:$H$43,8,FALSE),"Missing")="Verified"),OR(M44="",IFNA(VLOOKUP(M44,$A$6:$H$43,8,FALSE),"Missing")="Verified"),OR(N44="",IFNA(VLOOKUP(N44,$A$6:$H$43,8,FALSE),"Missing")="Verified")),"Ready","Dependency open")</f>
        <v>Dependency open</v>
      </c>
      <c r="P44" s="4" t="s">
        <v>133</v>
      </c>
      <c r="Q44" s="4" t="s">
        <v>134</v>
      </c>
      <c r="R44" s="8"/>
      <c r="S44" s="8">
        <v>4000.0</v>
      </c>
      <c r="T44" s="2" t="s">
        <v>252</v>
      </c>
      <c r="U44" s="4" t="s">
        <v>136</v>
      </c>
      <c r="V44" s="2" t="s">
        <v>17</v>
      </c>
    </row>
    <row r="45" ht="60.0" customHeight="1">
      <c r="A45" s="2" t="s">
        <v>253</v>
      </c>
      <c r="B45" s="2" t="s">
        <v>20</v>
      </c>
      <c r="C45" s="4" t="s">
        <v>254</v>
      </c>
      <c r="D45" s="4" t="s">
        <v>255</v>
      </c>
      <c r="E45" s="4" t="s">
        <v>256</v>
      </c>
      <c r="F45" s="4" t="s">
        <v>76</v>
      </c>
      <c r="G45" s="2" t="b">
        <v>0</v>
      </c>
      <c r="H45" s="2" t="str">
        <f t="shared" si="1"/>
        <v>Dependency open</v>
      </c>
      <c r="I45" s="2"/>
      <c r="J45" s="2"/>
      <c r="K45" s="2"/>
      <c r="L45" s="2" t="s">
        <v>249</v>
      </c>
      <c r="M45" s="2"/>
      <c r="N45" s="2"/>
      <c r="O45" s="2" t="str">
        <f>IF(AND(OR(L45="",IFNA(VLOOKUP(L45,$A$6:$H$44,8,FALSE),"Missing")="Verified"),OR(M45="",IFNA(VLOOKUP(M45,$A$6:$H$44,8,FALSE),"Missing")="Verified"),OR(N45="",IFNA(VLOOKUP(N45,$A$6:$H$44,8,FALSE),"Missing")="Verified")),"Ready","Dependency open")</f>
        <v>Dependency open</v>
      </c>
      <c r="P45" s="4" t="s">
        <v>257</v>
      </c>
      <c r="Q45" s="4" t="s">
        <v>258</v>
      </c>
      <c r="R45" s="8"/>
      <c r="S45" s="8">
        <v>6000.0</v>
      </c>
      <c r="T45" s="2" t="s">
        <v>200</v>
      </c>
      <c r="U45" s="4" t="s">
        <v>81</v>
      </c>
      <c r="V45" s="2" t="s">
        <v>17</v>
      </c>
    </row>
    <row r="46" ht="60.0" customHeight="1">
      <c r="A46" s="2" t="s">
        <v>259</v>
      </c>
      <c r="B46" s="2" t="s">
        <v>20</v>
      </c>
      <c r="C46" s="4" t="s">
        <v>254</v>
      </c>
      <c r="D46" s="4" t="s">
        <v>260</v>
      </c>
      <c r="E46" s="4" t="s">
        <v>256</v>
      </c>
      <c r="F46" s="4" t="s">
        <v>76</v>
      </c>
      <c r="G46" s="2" t="b">
        <v>0</v>
      </c>
      <c r="H46" s="2" t="str">
        <f t="shared" si="1"/>
        <v>Dependency open</v>
      </c>
      <c r="I46" s="2"/>
      <c r="J46" s="2"/>
      <c r="K46" s="2"/>
      <c r="L46" s="2" t="s">
        <v>253</v>
      </c>
      <c r="M46" s="2"/>
      <c r="N46" s="2"/>
      <c r="O46" s="2" t="str">
        <f>IF(AND(OR(L46="",IFNA(VLOOKUP(L46,$A$6:$H$45,8,FALSE),"Missing")="Verified"),OR(M46="",IFNA(VLOOKUP(M46,$A$6:$H$45,8,FALSE),"Missing")="Verified"),OR(N46="",IFNA(VLOOKUP(N46,$A$6:$H$45,8,FALSE),"Missing")="Verified")),"Ready","Dependency open")</f>
        <v>Dependency open</v>
      </c>
      <c r="P46" s="4" t="s">
        <v>261</v>
      </c>
      <c r="Q46" s="4" t="s">
        <v>262</v>
      </c>
      <c r="R46" s="8"/>
      <c r="S46" s="8">
        <v>6000.0</v>
      </c>
      <c r="T46" s="2" t="s">
        <v>200</v>
      </c>
      <c r="U46" s="4" t="s">
        <v>81</v>
      </c>
      <c r="V46" s="2" t="s">
        <v>17</v>
      </c>
    </row>
    <row r="47" ht="60.0" customHeight="1">
      <c r="A47" s="2" t="s">
        <v>263</v>
      </c>
      <c r="B47" s="2" t="s">
        <v>20</v>
      </c>
      <c r="C47" s="4" t="s">
        <v>254</v>
      </c>
      <c r="D47" s="4" t="s">
        <v>264</v>
      </c>
      <c r="E47" s="4" t="s">
        <v>256</v>
      </c>
      <c r="F47" s="4" t="s">
        <v>76</v>
      </c>
      <c r="G47" s="2" t="b">
        <v>0</v>
      </c>
      <c r="H47" s="2" t="str">
        <f t="shared" si="1"/>
        <v>Dependency open</v>
      </c>
      <c r="I47" s="2"/>
      <c r="J47" s="2"/>
      <c r="K47" s="2"/>
      <c r="L47" s="2" t="s">
        <v>259</v>
      </c>
      <c r="M47" s="2"/>
      <c r="N47" s="2"/>
      <c r="O47" s="2" t="str">
        <f>IF(AND(OR(L47="",IFNA(VLOOKUP(L47,$A$6:$H$46,8,FALSE),"Missing")="Verified"),OR(M47="",IFNA(VLOOKUP(M47,$A$6:$H$46,8,FALSE),"Missing")="Verified"),OR(N47="",IFNA(VLOOKUP(N47,$A$6:$H$46,8,FALSE),"Missing")="Verified")),"Ready","Dependency open")</f>
        <v>Dependency open</v>
      </c>
      <c r="P47" s="4" t="s">
        <v>265</v>
      </c>
      <c r="Q47" s="4" t="s">
        <v>266</v>
      </c>
      <c r="R47" s="8"/>
      <c r="S47" s="8">
        <v>6000.0</v>
      </c>
      <c r="T47" s="2" t="s">
        <v>200</v>
      </c>
      <c r="U47" s="4" t="s">
        <v>81</v>
      </c>
      <c r="V47" s="2" t="s">
        <v>17</v>
      </c>
    </row>
    <row r="48" ht="60.0" customHeight="1">
      <c r="A48" s="2" t="s">
        <v>267</v>
      </c>
      <c r="B48" s="2" t="s">
        <v>20</v>
      </c>
      <c r="C48" s="4" t="s">
        <v>254</v>
      </c>
      <c r="D48" s="4" t="s">
        <v>268</v>
      </c>
      <c r="E48" s="4" t="s">
        <v>256</v>
      </c>
      <c r="F48" s="4" t="s">
        <v>76</v>
      </c>
      <c r="G48" s="2" t="b">
        <v>0</v>
      </c>
      <c r="H48" s="2" t="str">
        <f t="shared" si="1"/>
        <v>Dependency open</v>
      </c>
      <c r="I48" s="2"/>
      <c r="J48" s="2"/>
      <c r="K48" s="2"/>
      <c r="L48" s="2" t="s">
        <v>263</v>
      </c>
      <c r="M48" s="2"/>
      <c r="N48" s="2"/>
      <c r="O48" s="2" t="str">
        <f>IF(AND(OR(L48="",IFNA(VLOOKUP(L48,$A$6:$H$47,8,FALSE),"Missing")="Verified"),OR(M48="",IFNA(VLOOKUP(M48,$A$6:$H$47,8,FALSE),"Missing")="Verified"),OR(N48="",IFNA(VLOOKUP(N48,$A$6:$H$47,8,FALSE),"Missing")="Verified")),"Ready","Dependency open")</f>
        <v>Dependency open</v>
      </c>
      <c r="P48" s="4" t="s">
        <v>269</v>
      </c>
      <c r="Q48" s="4" t="s">
        <v>270</v>
      </c>
      <c r="R48" s="8"/>
      <c r="S48" s="8">
        <v>6000.0</v>
      </c>
      <c r="T48" s="2" t="s">
        <v>200</v>
      </c>
      <c r="U48" s="4" t="s">
        <v>81</v>
      </c>
      <c r="V48" s="2" t="s">
        <v>17</v>
      </c>
    </row>
    <row r="49" ht="60.0" customHeight="1">
      <c r="A49" s="2" t="s">
        <v>271</v>
      </c>
      <c r="B49" s="2" t="s">
        <v>20</v>
      </c>
      <c r="C49" s="4" t="s">
        <v>272</v>
      </c>
      <c r="D49" s="4" t="s">
        <v>273</v>
      </c>
      <c r="E49" s="4" t="s">
        <v>256</v>
      </c>
      <c r="F49" s="4" t="s">
        <v>76</v>
      </c>
      <c r="G49" s="2" t="b">
        <v>0</v>
      </c>
      <c r="H49" s="2" t="str">
        <f t="shared" si="1"/>
        <v>Dependency open</v>
      </c>
      <c r="I49" s="2"/>
      <c r="J49" s="2"/>
      <c r="K49" s="2"/>
      <c r="L49" s="2" t="s">
        <v>249</v>
      </c>
      <c r="M49" s="2"/>
      <c r="N49" s="2"/>
      <c r="O49" s="2" t="str">
        <f>IF(AND(OR(L49="",IFNA(VLOOKUP(L49,$A$6:$H$48,8,FALSE),"Missing")="Verified"),OR(M49="",IFNA(VLOOKUP(M49,$A$6:$H$48,8,FALSE),"Missing")="Verified"),OR(N49="",IFNA(VLOOKUP(N49,$A$6:$H$48,8,FALSE),"Missing")="Verified")),"Ready","Dependency open")</f>
        <v>Dependency open</v>
      </c>
      <c r="P49" s="4" t="s">
        <v>274</v>
      </c>
      <c r="Q49" s="4" t="s">
        <v>275</v>
      </c>
      <c r="R49" s="8"/>
      <c r="S49" s="8">
        <v>6000.0</v>
      </c>
      <c r="T49" s="2" t="s">
        <v>200</v>
      </c>
      <c r="U49" s="4" t="s">
        <v>81</v>
      </c>
      <c r="V49" s="2" t="s">
        <v>17</v>
      </c>
    </row>
    <row r="50" ht="60.0" customHeight="1">
      <c r="A50" s="2" t="s">
        <v>276</v>
      </c>
      <c r="B50" s="2" t="s">
        <v>20</v>
      </c>
      <c r="C50" s="4" t="s">
        <v>272</v>
      </c>
      <c r="D50" s="4" t="s">
        <v>277</v>
      </c>
      <c r="E50" s="4" t="s">
        <v>256</v>
      </c>
      <c r="F50" s="4" t="s">
        <v>76</v>
      </c>
      <c r="G50" s="2" t="b">
        <v>0</v>
      </c>
      <c r="H50" s="2" t="str">
        <f t="shared" si="1"/>
        <v>Dependency open</v>
      </c>
      <c r="I50" s="2"/>
      <c r="J50" s="2"/>
      <c r="K50" s="2"/>
      <c r="L50" s="2" t="s">
        <v>271</v>
      </c>
      <c r="M50" s="2"/>
      <c r="N50" s="2"/>
      <c r="O50" s="2" t="str">
        <f>IF(AND(OR(L50="",IFNA(VLOOKUP(L50,$A$6:$H$49,8,FALSE),"Missing")="Verified"),OR(M50="",IFNA(VLOOKUP(M50,$A$6:$H$49,8,FALSE),"Missing")="Verified"),OR(N50="",IFNA(VLOOKUP(N50,$A$6:$H$49,8,FALSE),"Missing")="Verified")),"Ready","Dependency open")</f>
        <v>Dependency open</v>
      </c>
      <c r="P50" s="4" t="s">
        <v>278</v>
      </c>
      <c r="Q50" s="4" t="s">
        <v>279</v>
      </c>
      <c r="R50" s="8"/>
      <c r="S50" s="8">
        <v>6000.0</v>
      </c>
      <c r="T50" s="2" t="s">
        <v>200</v>
      </c>
      <c r="U50" s="4" t="s">
        <v>81</v>
      </c>
      <c r="V50" s="2" t="s">
        <v>17</v>
      </c>
    </row>
    <row r="51" ht="60.0" customHeight="1">
      <c r="A51" s="2" t="s">
        <v>280</v>
      </c>
      <c r="B51" s="2" t="s">
        <v>20</v>
      </c>
      <c r="C51" s="4" t="s">
        <v>272</v>
      </c>
      <c r="D51" s="4" t="s">
        <v>281</v>
      </c>
      <c r="E51" s="4" t="s">
        <v>256</v>
      </c>
      <c r="F51" s="4" t="s">
        <v>76</v>
      </c>
      <c r="G51" s="2" t="b">
        <v>0</v>
      </c>
      <c r="H51" s="2" t="str">
        <f t="shared" si="1"/>
        <v>Dependency open</v>
      </c>
      <c r="I51" s="2"/>
      <c r="J51" s="2"/>
      <c r="K51" s="2"/>
      <c r="L51" s="2" t="s">
        <v>276</v>
      </c>
      <c r="M51" s="2"/>
      <c r="N51" s="2"/>
      <c r="O51" s="2" t="str">
        <f>IF(AND(OR(L51="",IFNA(VLOOKUP(L51,$A$6:$H$50,8,FALSE),"Missing")="Verified"),OR(M51="",IFNA(VLOOKUP(M51,$A$6:$H$50,8,FALSE),"Missing")="Verified"),OR(N51="",IFNA(VLOOKUP(N51,$A$6:$H$50,8,FALSE),"Missing")="Verified")),"Ready","Dependency open")</f>
        <v>Dependency open</v>
      </c>
      <c r="P51" s="4" t="s">
        <v>282</v>
      </c>
      <c r="Q51" s="4" t="s">
        <v>283</v>
      </c>
      <c r="R51" s="8"/>
      <c r="S51" s="8">
        <v>6000.0</v>
      </c>
      <c r="T51" s="2" t="s">
        <v>200</v>
      </c>
      <c r="U51" s="4" t="s">
        <v>81</v>
      </c>
      <c r="V51" s="2" t="s">
        <v>17</v>
      </c>
    </row>
    <row r="52" ht="60.0" customHeight="1">
      <c r="A52" s="2" t="s">
        <v>284</v>
      </c>
      <c r="B52" s="2" t="s">
        <v>20</v>
      </c>
      <c r="C52" s="4" t="s">
        <v>272</v>
      </c>
      <c r="D52" s="4" t="s">
        <v>285</v>
      </c>
      <c r="E52" s="4" t="s">
        <v>256</v>
      </c>
      <c r="F52" s="4" t="s">
        <v>76</v>
      </c>
      <c r="G52" s="2" t="b">
        <v>0</v>
      </c>
      <c r="H52" s="2" t="str">
        <f t="shared" si="1"/>
        <v>Dependency open</v>
      </c>
      <c r="I52" s="2"/>
      <c r="J52" s="2"/>
      <c r="K52" s="2"/>
      <c r="L52" s="2" t="s">
        <v>280</v>
      </c>
      <c r="M52" s="2"/>
      <c r="N52" s="2"/>
      <c r="O52" s="2" t="str">
        <f>IF(AND(OR(L52="",IFNA(VLOOKUP(L52,$A$6:$H$51,8,FALSE),"Missing")="Verified"),OR(M52="",IFNA(VLOOKUP(M52,$A$6:$H$51,8,FALSE),"Missing")="Verified"),OR(N52="",IFNA(VLOOKUP(N52,$A$6:$H$51,8,FALSE),"Missing")="Verified")),"Ready","Dependency open")</f>
        <v>Dependency open</v>
      </c>
      <c r="P52" s="4" t="s">
        <v>286</v>
      </c>
      <c r="Q52" s="4" t="s">
        <v>287</v>
      </c>
      <c r="R52" s="8"/>
      <c r="S52" s="8">
        <v>6000.0</v>
      </c>
      <c r="T52" s="2" t="s">
        <v>200</v>
      </c>
      <c r="U52" s="4" t="s">
        <v>81</v>
      </c>
      <c r="V52" s="2" t="s">
        <v>17</v>
      </c>
    </row>
    <row r="53" ht="60.0" customHeight="1">
      <c r="A53" s="2" t="s">
        <v>288</v>
      </c>
      <c r="B53" s="2" t="s">
        <v>20</v>
      </c>
      <c r="C53" s="4" t="s">
        <v>289</v>
      </c>
      <c r="D53" s="4" t="s">
        <v>290</v>
      </c>
      <c r="E53" s="4" t="s">
        <v>291</v>
      </c>
      <c r="F53" s="4" t="s">
        <v>76</v>
      </c>
      <c r="G53" s="2" t="b">
        <v>0</v>
      </c>
      <c r="H53" s="2" t="str">
        <f t="shared" si="1"/>
        <v>Dependency open</v>
      </c>
      <c r="I53" s="2"/>
      <c r="J53" s="2"/>
      <c r="K53" s="2"/>
      <c r="L53" s="2" t="s">
        <v>249</v>
      </c>
      <c r="M53" s="2"/>
      <c r="N53" s="2"/>
      <c r="O53" s="2" t="str">
        <f>IF(AND(OR(L53="",IFNA(VLOOKUP(L53,$A$6:$H$52,8,FALSE),"Missing")="Verified"),OR(M53="",IFNA(VLOOKUP(M53,$A$6:$H$52,8,FALSE),"Missing")="Verified"),OR(N53="",IFNA(VLOOKUP(N53,$A$6:$H$52,8,FALSE),"Missing")="Verified")),"Ready","Dependency open")</f>
        <v>Dependency open</v>
      </c>
      <c r="P53" s="4" t="s">
        <v>292</v>
      </c>
      <c r="Q53" s="4" t="s">
        <v>293</v>
      </c>
      <c r="R53" s="8"/>
      <c r="S53" s="8">
        <v>6000.0</v>
      </c>
      <c r="T53" s="2" t="s">
        <v>200</v>
      </c>
      <c r="U53" s="4" t="s">
        <v>81</v>
      </c>
      <c r="V53" s="2" t="s">
        <v>17</v>
      </c>
    </row>
    <row r="54" ht="60.0" customHeight="1">
      <c r="A54" s="2" t="s">
        <v>294</v>
      </c>
      <c r="B54" s="2" t="s">
        <v>20</v>
      </c>
      <c r="C54" s="4" t="s">
        <v>289</v>
      </c>
      <c r="D54" s="4" t="s">
        <v>295</v>
      </c>
      <c r="E54" s="4" t="s">
        <v>291</v>
      </c>
      <c r="F54" s="4" t="s">
        <v>76</v>
      </c>
      <c r="G54" s="2" t="b">
        <v>0</v>
      </c>
      <c r="H54" s="2" t="str">
        <f t="shared" si="1"/>
        <v>Dependency open</v>
      </c>
      <c r="I54" s="2"/>
      <c r="J54" s="2"/>
      <c r="K54" s="2"/>
      <c r="L54" s="2" t="s">
        <v>288</v>
      </c>
      <c r="M54" s="2"/>
      <c r="N54" s="2"/>
      <c r="O54" s="2" t="str">
        <f>IF(AND(OR(L54="",IFNA(VLOOKUP(L54,$A$6:$H$53,8,FALSE),"Missing")="Verified"),OR(M54="",IFNA(VLOOKUP(M54,$A$6:$H$53,8,FALSE),"Missing")="Verified"),OR(N54="",IFNA(VLOOKUP(N54,$A$6:$H$53,8,FALSE),"Missing")="Verified")),"Ready","Dependency open")</f>
        <v>Dependency open</v>
      </c>
      <c r="P54" s="4" t="s">
        <v>296</v>
      </c>
      <c r="Q54" s="4" t="s">
        <v>297</v>
      </c>
      <c r="R54" s="8"/>
      <c r="S54" s="8">
        <v>6000.0</v>
      </c>
      <c r="T54" s="2" t="s">
        <v>200</v>
      </c>
      <c r="U54" s="4" t="s">
        <v>81</v>
      </c>
      <c r="V54" s="2" t="s">
        <v>17</v>
      </c>
    </row>
    <row r="55" ht="60.0" customHeight="1">
      <c r="A55" s="2" t="s">
        <v>298</v>
      </c>
      <c r="B55" s="2" t="s">
        <v>20</v>
      </c>
      <c r="C55" s="4" t="s">
        <v>289</v>
      </c>
      <c r="D55" s="4" t="s">
        <v>299</v>
      </c>
      <c r="E55" s="4" t="s">
        <v>291</v>
      </c>
      <c r="F55" s="4" t="s">
        <v>76</v>
      </c>
      <c r="G55" s="2" t="b">
        <v>0</v>
      </c>
      <c r="H55" s="2" t="str">
        <f t="shared" si="1"/>
        <v>Dependency open</v>
      </c>
      <c r="I55" s="2"/>
      <c r="J55" s="2"/>
      <c r="K55" s="2"/>
      <c r="L55" s="2" t="s">
        <v>294</v>
      </c>
      <c r="M55" s="2"/>
      <c r="N55" s="2"/>
      <c r="O55" s="2" t="str">
        <f>IF(AND(OR(L55="",IFNA(VLOOKUP(L55,$A$6:$H$54,8,FALSE),"Missing")="Verified"),OR(M55="",IFNA(VLOOKUP(M55,$A$6:$H$54,8,FALSE),"Missing")="Verified"),OR(N55="",IFNA(VLOOKUP(N55,$A$6:$H$54,8,FALSE),"Missing")="Verified")),"Ready","Dependency open")</f>
        <v>Dependency open</v>
      </c>
      <c r="P55" s="4" t="s">
        <v>300</v>
      </c>
      <c r="Q55" s="4" t="s">
        <v>301</v>
      </c>
      <c r="R55" s="8"/>
      <c r="S55" s="8">
        <v>6000.0</v>
      </c>
      <c r="T55" s="2" t="s">
        <v>200</v>
      </c>
      <c r="U55" s="4" t="s">
        <v>81</v>
      </c>
      <c r="V55" s="2" t="s">
        <v>17</v>
      </c>
    </row>
    <row r="56" ht="60.0" customHeight="1">
      <c r="A56" s="2" t="s">
        <v>302</v>
      </c>
      <c r="B56" s="2" t="s">
        <v>20</v>
      </c>
      <c r="C56" s="4" t="s">
        <v>289</v>
      </c>
      <c r="D56" s="4" t="s">
        <v>303</v>
      </c>
      <c r="E56" s="4" t="s">
        <v>291</v>
      </c>
      <c r="F56" s="4" t="s">
        <v>76</v>
      </c>
      <c r="G56" s="2" t="b">
        <v>0</v>
      </c>
      <c r="H56" s="2" t="str">
        <f t="shared" si="1"/>
        <v>Dependency open</v>
      </c>
      <c r="I56" s="2"/>
      <c r="J56" s="2"/>
      <c r="K56" s="2"/>
      <c r="L56" s="2" t="s">
        <v>298</v>
      </c>
      <c r="M56" s="2"/>
      <c r="N56" s="2"/>
      <c r="O56" s="2" t="str">
        <f>IF(AND(OR(L56="",IFNA(VLOOKUP(L56,$A$6:$H$55,8,FALSE),"Missing")="Verified"),OR(M56="",IFNA(VLOOKUP(M56,$A$6:$H$55,8,FALSE),"Missing")="Verified"),OR(N56="",IFNA(VLOOKUP(N56,$A$6:$H$55,8,FALSE),"Missing")="Verified")),"Ready","Dependency open")</f>
        <v>Dependency open</v>
      </c>
      <c r="P56" s="4" t="s">
        <v>304</v>
      </c>
      <c r="Q56" s="4" t="s">
        <v>305</v>
      </c>
      <c r="R56" s="8"/>
      <c r="S56" s="8">
        <v>6000.0</v>
      </c>
      <c r="T56" s="2" t="s">
        <v>200</v>
      </c>
      <c r="U56" s="4" t="s">
        <v>81</v>
      </c>
      <c r="V56" s="2" t="s">
        <v>17</v>
      </c>
    </row>
    <row r="57" ht="60.0" customHeight="1">
      <c r="A57" s="2" t="s">
        <v>306</v>
      </c>
      <c r="B57" s="2" t="s">
        <v>20</v>
      </c>
      <c r="C57" s="4" t="s">
        <v>307</v>
      </c>
      <c r="D57" s="4" t="s">
        <v>308</v>
      </c>
      <c r="E57" s="4" t="s">
        <v>132</v>
      </c>
      <c r="F57" s="4" t="s">
        <v>76</v>
      </c>
      <c r="G57" s="2" t="b">
        <v>0</v>
      </c>
      <c r="H57" s="2" t="str">
        <f t="shared" si="1"/>
        <v>Dependency open</v>
      </c>
      <c r="I57" s="2"/>
      <c r="J57" s="2"/>
      <c r="K57" s="2"/>
      <c r="L57" s="2" t="s">
        <v>267</v>
      </c>
      <c r="M57" s="2" t="s">
        <v>284</v>
      </c>
      <c r="N57" s="2" t="s">
        <v>302</v>
      </c>
      <c r="O57" s="2" t="str">
        <f>IF(AND(OR(L57="",IFNA(VLOOKUP(L57,$A$6:$H$56,8,FALSE),"Missing")="Verified"),OR(M57="",IFNA(VLOOKUP(M57,$A$6:$H$56,8,FALSE),"Missing")="Verified"),OR(N57="",IFNA(VLOOKUP(N57,$A$6:$H$56,8,FALSE),"Missing")="Verified")),"Ready","Dependency open")</f>
        <v>Dependency open</v>
      </c>
      <c r="P57" s="4" t="s">
        <v>133</v>
      </c>
      <c r="Q57" s="4" t="s">
        <v>134</v>
      </c>
      <c r="R57" s="8"/>
      <c r="S57" s="8">
        <v>4000.0</v>
      </c>
      <c r="T57" s="2" t="s">
        <v>309</v>
      </c>
      <c r="U57" s="4" t="s">
        <v>136</v>
      </c>
      <c r="V57" s="2" t="s">
        <v>17</v>
      </c>
    </row>
    <row r="58" ht="60.0" customHeight="1">
      <c r="A58" s="2" t="s">
        <v>310</v>
      </c>
      <c r="B58" s="2" t="s">
        <v>22</v>
      </c>
      <c r="C58" s="4" t="s">
        <v>311</v>
      </c>
      <c r="D58" s="4" t="s">
        <v>312</v>
      </c>
      <c r="E58" s="4" t="s">
        <v>176</v>
      </c>
      <c r="F58" s="4" t="s">
        <v>76</v>
      </c>
      <c r="G58" s="2" t="b">
        <v>0</v>
      </c>
      <c r="H58" s="2" t="str">
        <f t="shared" si="1"/>
        <v>Dependency open</v>
      </c>
      <c r="I58" s="2"/>
      <c r="J58" s="2"/>
      <c r="K58" s="2"/>
      <c r="L58" s="2" t="s">
        <v>306</v>
      </c>
      <c r="M58" s="2"/>
      <c r="N58" s="2"/>
      <c r="O58" s="2" t="str">
        <f>IF(AND(OR(L58="",IFNA(VLOOKUP(L58,$A$6:$H$57,8,FALSE),"Missing")="Verified"),OR(M58="",IFNA(VLOOKUP(M58,$A$6:$H$57,8,FALSE),"Missing")="Verified"),OR(N58="",IFNA(VLOOKUP(N58,$A$6:$H$57,8,FALSE),"Missing")="Verified")),"Ready","Dependency open")</f>
        <v>Dependency open</v>
      </c>
      <c r="P58" s="4" t="s">
        <v>313</v>
      </c>
      <c r="Q58" s="4" t="s">
        <v>314</v>
      </c>
      <c r="R58" s="8"/>
      <c r="S58" s="8">
        <v>6000.0</v>
      </c>
      <c r="T58" s="2" t="s">
        <v>315</v>
      </c>
      <c r="U58" s="4" t="s">
        <v>81</v>
      </c>
      <c r="V58" s="2" t="s">
        <v>17</v>
      </c>
    </row>
    <row r="59" ht="60.0" customHeight="1">
      <c r="A59" s="2" t="s">
        <v>316</v>
      </c>
      <c r="B59" s="2" t="s">
        <v>22</v>
      </c>
      <c r="C59" s="4" t="s">
        <v>311</v>
      </c>
      <c r="D59" s="4" t="s">
        <v>317</v>
      </c>
      <c r="E59" s="4" t="s">
        <v>176</v>
      </c>
      <c r="F59" s="4" t="s">
        <v>76</v>
      </c>
      <c r="G59" s="2" t="b">
        <v>0</v>
      </c>
      <c r="H59" s="2" t="str">
        <f t="shared" si="1"/>
        <v>Dependency open</v>
      </c>
      <c r="I59" s="2"/>
      <c r="J59" s="2"/>
      <c r="K59" s="2"/>
      <c r="L59" s="2" t="s">
        <v>310</v>
      </c>
      <c r="M59" s="2"/>
      <c r="N59" s="2"/>
      <c r="O59" s="2" t="str">
        <f>IF(AND(OR(L59="",IFNA(VLOOKUP(L59,$A$6:$H$58,8,FALSE),"Missing")="Verified"),OR(M59="",IFNA(VLOOKUP(M59,$A$6:$H$58,8,FALSE),"Missing")="Verified"),OR(N59="",IFNA(VLOOKUP(N59,$A$6:$H$58,8,FALSE),"Missing")="Verified")),"Ready","Dependency open")</f>
        <v>Dependency open</v>
      </c>
      <c r="P59" s="4" t="s">
        <v>318</v>
      </c>
      <c r="Q59" s="4" t="s">
        <v>319</v>
      </c>
      <c r="R59" s="8"/>
      <c r="S59" s="8">
        <v>6000.0</v>
      </c>
      <c r="T59" s="2" t="s">
        <v>315</v>
      </c>
      <c r="U59" s="4" t="s">
        <v>81</v>
      </c>
      <c r="V59" s="2" t="s">
        <v>17</v>
      </c>
    </row>
    <row r="60" ht="60.0" customHeight="1">
      <c r="A60" s="2" t="s">
        <v>320</v>
      </c>
      <c r="B60" s="2" t="s">
        <v>22</v>
      </c>
      <c r="C60" s="4" t="s">
        <v>311</v>
      </c>
      <c r="D60" s="4" t="s">
        <v>321</v>
      </c>
      <c r="E60" s="4" t="s">
        <v>176</v>
      </c>
      <c r="F60" s="4" t="s">
        <v>76</v>
      </c>
      <c r="G60" s="2" t="b">
        <v>0</v>
      </c>
      <c r="H60" s="2" t="str">
        <f t="shared" si="1"/>
        <v>Dependency open</v>
      </c>
      <c r="I60" s="2"/>
      <c r="J60" s="2"/>
      <c r="K60" s="2"/>
      <c r="L60" s="2" t="s">
        <v>316</v>
      </c>
      <c r="M60" s="2"/>
      <c r="N60" s="2"/>
      <c r="O60" s="2" t="str">
        <f>IF(AND(OR(L60="",IFNA(VLOOKUP(L60,$A$6:$H$59,8,FALSE),"Missing")="Verified"),OR(M60="",IFNA(VLOOKUP(M60,$A$6:$H$59,8,FALSE),"Missing")="Verified"),OR(N60="",IFNA(VLOOKUP(N60,$A$6:$H$59,8,FALSE),"Missing")="Verified")),"Ready","Dependency open")</f>
        <v>Dependency open</v>
      </c>
      <c r="P60" s="4" t="s">
        <v>322</v>
      </c>
      <c r="Q60" s="4" t="s">
        <v>323</v>
      </c>
      <c r="R60" s="8"/>
      <c r="S60" s="8">
        <v>6000.0</v>
      </c>
      <c r="T60" s="2" t="s">
        <v>315</v>
      </c>
      <c r="U60" s="4" t="s">
        <v>81</v>
      </c>
      <c r="V60" s="2" t="s">
        <v>17</v>
      </c>
    </row>
    <row r="61" ht="60.0" customHeight="1">
      <c r="A61" s="2" t="s">
        <v>324</v>
      </c>
      <c r="B61" s="2" t="s">
        <v>22</v>
      </c>
      <c r="C61" s="4" t="s">
        <v>311</v>
      </c>
      <c r="D61" s="4" t="s">
        <v>325</v>
      </c>
      <c r="E61" s="4" t="s">
        <v>176</v>
      </c>
      <c r="F61" s="4" t="s">
        <v>76</v>
      </c>
      <c r="G61" s="2" t="b">
        <v>0</v>
      </c>
      <c r="H61" s="2" t="str">
        <f t="shared" si="1"/>
        <v>Dependency open</v>
      </c>
      <c r="I61" s="2"/>
      <c r="J61" s="2"/>
      <c r="K61" s="2"/>
      <c r="L61" s="2" t="s">
        <v>320</v>
      </c>
      <c r="M61" s="2"/>
      <c r="N61" s="2"/>
      <c r="O61" s="2" t="str">
        <f>IF(AND(OR(L61="",IFNA(VLOOKUP(L61,$A$6:$H$60,8,FALSE),"Missing")="Verified"),OR(M61="",IFNA(VLOOKUP(M61,$A$6:$H$60,8,FALSE),"Missing")="Verified"),OR(N61="",IFNA(VLOOKUP(N61,$A$6:$H$60,8,FALSE),"Missing")="Verified")),"Ready","Dependency open")</f>
        <v>Dependency open</v>
      </c>
      <c r="P61" s="4" t="s">
        <v>326</v>
      </c>
      <c r="Q61" s="4" t="s">
        <v>327</v>
      </c>
      <c r="R61" s="8"/>
      <c r="S61" s="8">
        <v>6000.0</v>
      </c>
      <c r="T61" s="2" t="s">
        <v>315</v>
      </c>
      <c r="U61" s="4" t="s">
        <v>81</v>
      </c>
      <c r="V61" s="2" t="s">
        <v>17</v>
      </c>
    </row>
    <row r="62" ht="60.0" customHeight="1">
      <c r="A62" s="2" t="s">
        <v>328</v>
      </c>
      <c r="B62" s="2" t="s">
        <v>22</v>
      </c>
      <c r="C62" s="4" t="s">
        <v>329</v>
      </c>
      <c r="D62" s="4" t="s">
        <v>330</v>
      </c>
      <c r="E62" s="4" t="s">
        <v>216</v>
      </c>
      <c r="F62" s="4" t="s">
        <v>76</v>
      </c>
      <c r="G62" s="2" t="b">
        <v>0</v>
      </c>
      <c r="H62" s="2" t="str">
        <f t="shared" si="1"/>
        <v>Dependency open</v>
      </c>
      <c r="I62" s="2"/>
      <c r="J62" s="2"/>
      <c r="K62" s="2"/>
      <c r="L62" s="2" t="s">
        <v>306</v>
      </c>
      <c r="M62" s="2"/>
      <c r="N62" s="2"/>
      <c r="O62" s="2" t="str">
        <f>IF(AND(OR(L62="",IFNA(VLOOKUP(L62,$A$6:$H$61,8,FALSE),"Missing")="Verified"),OR(M62="",IFNA(VLOOKUP(M62,$A$6:$H$61,8,FALSE),"Missing")="Verified"),OR(N62="",IFNA(VLOOKUP(N62,$A$6:$H$61,8,FALSE),"Missing")="Verified")),"Ready","Dependency open")</f>
        <v>Dependency open</v>
      </c>
      <c r="P62" s="4" t="s">
        <v>331</v>
      </c>
      <c r="Q62" s="4" t="s">
        <v>332</v>
      </c>
      <c r="R62" s="8"/>
      <c r="S62" s="8">
        <v>6000.0</v>
      </c>
      <c r="T62" s="2" t="s">
        <v>315</v>
      </c>
      <c r="U62" s="4" t="s">
        <v>81</v>
      </c>
      <c r="V62" s="2" t="s">
        <v>17</v>
      </c>
    </row>
    <row r="63" ht="60.0" customHeight="1">
      <c r="A63" s="2" t="s">
        <v>333</v>
      </c>
      <c r="B63" s="2" t="s">
        <v>22</v>
      </c>
      <c r="C63" s="4" t="s">
        <v>329</v>
      </c>
      <c r="D63" s="4" t="s">
        <v>334</v>
      </c>
      <c r="E63" s="4" t="s">
        <v>216</v>
      </c>
      <c r="F63" s="4" t="s">
        <v>76</v>
      </c>
      <c r="G63" s="2" t="b">
        <v>0</v>
      </c>
      <c r="H63" s="2" t="str">
        <f t="shared" si="1"/>
        <v>Dependency open</v>
      </c>
      <c r="I63" s="2"/>
      <c r="J63" s="2"/>
      <c r="K63" s="2"/>
      <c r="L63" s="2" t="s">
        <v>328</v>
      </c>
      <c r="M63" s="2"/>
      <c r="N63" s="2"/>
      <c r="O63" s="2" t="str">
        <f>IF(AND(OR(L63="",IFNA(VLOOKUP(L63,$A$6:$H$62,8,FALSE),"Missing")="Verified"),OR(M63="",IFNA(VLOOKUP(M63,$A$6:$H$62,8,FALSE),"Missing")="Verified"),OR(N63="",IFNA(VLOOKUP(N63,$A$6:$H$62,8,FALSE),"Missing")="Verified")),"Ready","Dependency open")</f>
        <v>Dependency open</v>
      </c>
      <c r="P63" s="4" t="s">
        <v>335</v>
      </c>
      <c r="Q63" s="4" t="s">
        <v>336</v>
      </c>
      <c r="R63" s="8"/>
      <c r="S63" s="8">
        <v>6000.0</v>
      </c>
      <c r="T63" s="2" t="s">
        <v>315</v>
      </c>
      <c r="U63" s="4" t="s">
        <v>81</v>
      </c>
      <c r="V63" s="2" t="s">
        <v>17</v>
      </c>
    </row>
    <row r="64" ht="60.0" customHeight="1">
      <c r="A64" s="2" t="s">
        <v>337</v>
      </c>
      <c r="B64" s="2" t="s">
        <v>22</v>
      </c>
      <c r="C64" s="4" t="s">
        <v>329</v>
      </c>
      <c r="D64" s="4" t="s">
        <v>338</v>
      </c>
      <c r="E64" s="4" t="s">
        <v>216</v>
      </c>
      <c r="F64" s="4" t="s">
        <v>76</v>
      </c>
      <c r="G64" s="2" t="b">
        <v>0</v>
      </c>
      <c r="H64" s="2" t="str">
        <f t="shared" si="1"/>
        <v>Dependency open</v>
      </c>
      <c r="I64" s="2"/>
      <c r="J64" s="2"/>
      <c r="K64" s="2"/>
      <c r="L64" s="2" t="s">
        <v>333</v>
      </c>
      <c r="M64" s="2"/>
      <c r="N64" s="2"/>
      <c r="O64" s="2" t="str">
        <f>IF(AND(OR(L64="",IFNA(VLOOKUP(L64,$A$6:$H$63,8,FALSE),"Missing")="Verified"),OR(M64="",IFNA(VLOOKUP(M64,$A$6:$H$63,8,FALSE),"Missing")="Verified"),OR(N64="",IFNA(VLOOKUP(N64,$A$6:$H$63,8,FALSE),"Missing")="Verified")),"Ready","Dependency open")</f>
        <v>Dependency open</v>
      </c>
      <c r="P64" s="4" t="s">
        <v>339</v>
      </c>
      <c r="Q64" s="4" t="s">
        <v>340</v>
      </c>
      <c r="R64" s="8"/>
      <c r="S64" s="8">
        <v>6000.0</v>
      </c>
      <c r="T64" s="2" t="s">
        <v>315</v>
      </c>
      <c r="U64" s="4" t="s">
        <v>81</v>
      </c>
      <c r="V64" s="2" t="s">
        <v>17</v>
      </c>
    </row>
    <row r="65" ht="60.0" customHeight="1">
      <c r="A65" s="2" t="s">
        <v>341</v>
      </c>
      <c r="B65" s="2" t="s">
        <v>22</v>
      </c>
      <c r="C65" s="4" t="s">
        <v>329</v>
      </c>
      <c r="D65" s="4" t="s">
        <v>342</v>
      </c>
      <c r="E65" s="4" t="s">
        <v>216</v>
      </c>
      <c r="F65" s="4" t="s">
        <v>76</v>
      </c>
      <c r="G65" s="2" t="b">
        <v>0</v>
      </c>
      <c r="H65" s="2" t="str">
        <f t="shared" si="1"/>
        <v>Dependency open</v>
      </c>
      <c r="I65" s="2"/>
      <c r="J65" s="2"/>
      <c r="K65" s="2"/>
      <c r="L65" s="2" t="s">
        <v>337</v>
      </c>
      <c r="M65" s="2"/>
      <c r="N65" s="2"/>
      <c r="O65" s="2" t="str">
        <f>IF(AND(OR(L65="",IFNA(VLOOKUP(L65,$A$6:$H$64,8,FALSE),"Missing")="Verified"),OR(M65="",IFNA(VLOOKUP(M65,$A$6:$H$64,8,FALSE),"Missing")="Verified"),OR(N65="",IFNA(VLOOKUP(N65,$A$6:$H$64,8,FALSE),"Missing")="Verified")),"Ready","Dependency open")</f>
        <v>Dependency open</v>
      </c>
      <c r="P65" s="4" t="s">
        <v>343</v>
      </c>
      <c r="Q65" s="4" t="s">
        <v>344</v>
      </c>
      <c r="R65" s="8"/>
      <c r="S65" s="8">
        <v>6000.0</v>
      </c>
      <c r="T65" s="2" t="s">
        <v>315</v>
      </c>
      <c r="U65" s="4" t="s">
        <v>81</v>
      </c>
      <c r="V65" s="2" t="s">
        <v>17</v>
      </c>
    </row>
    <row r="66" ht="60.0" customHeight="1">
      <c r="A66" s="2" t="s">
        <v>345</v>
      </c>
      <c r="B66" s="2" t="s">
        <v>22</v>
      </c>
      <c r="C66" s="4" t="s">
        <v>346</v>
      </c>
      <c r="D66" s="4" t="s">
        <v>347</v>
      </c>
      <c r="E66" s="4" t="s">
        <v>75</v>
      </c>
      <c r="F66" s="4" t="s">
        <v>76</v>
      </c>
      <c r="G66" s="2" t="b">
        <v>0</v>
      </c>
      <c r="H66" s="2" t="str">
        <f t="shared" si="1"/>
        <v>Dependency open</v>
      </c>
      <c r="I66" s="2"/>
      <c r="J66" s="2"/>
      <c r="K66" s="2"/>
      <c r="L66" s="2" t="s">
        <v>306</v>
      </c>
      <c r="M66" s="2"/>
      <c r="N66" s="2"/>
      <c r="O66" s="2" t="str">
        <f>IF(AND(OR(L66="",IFNA(VLOOKUP(L66,$A$6:$H$65,8,FALSE),"Missing")="Verified"),OR(M66="",IFNA(VLOOKUP(M66,$A$6:$H$65,8,FALSE),"Missing")="Verified"),OR(N66="",IFNA(VLOOKUP(N66,$A$6:$H$65,8,FALSE),"Missing")="Verified")),"Ready","Dependency open")</f>
        <v>Dependency open</v>
      </c>
      <c r="P66" s="4" t="s">
        <v>348</v>
      </c>
      <c r="Q66" s="4" t="s">
        <v>349</v>
      </c>
      <c r="R66" s="8"/>
      <c r="S66" s="8">
        <v>6000.0</v>
      </c>
      <c r="T66" s="2" t="s">
        <v>315</v>
      </c>
      <c r="U66" s="4" t="s">
        <v>81</v>
      </c>
      <c r="V66" s="2" t="s">
        <v>17</v>
      </c>
    </row>
    <row r="67" ht="60.0" customHeight="1">
      <c r="A67" s="2" t="s">
        <v>350</v>
      </c>
      <c r="B67" s="2" t="s">
        <v>22</v>
      </c>
      <c r="C67" s="4" t="s">
        <v>346</v>
      </c>
      <c r="D67" s="4" t="s">
        <v>351</v>
      </c>
      <c r="E67" s="4" t="s">
        <v>75</v>
      </c>
      <c r="F67" s="4" t="s">
        <v>76</v>
      </c>
      <c r="G67" s="2" t="b">
        <v>0</v>
      </c>
      <c r="H67" s="2" t="str">
        <f t="shared" si="1"/>
        <v>Dependency open</v>
      </c>
      <c r="I67" s="2"/>
      <c r="J67" s="2"/>
      <c r="K67" s="2"/>
      <c r="L67" s="2" t="s">
        <v>345</v>
      </c>
      <c r="M67" s="2"/>
      <c r="N67" s="2"/>
      <c r="O67" s="2" t="str">
        <f>IF(AND(OR(L67="",IFNA(VLOOKUP(L67,$A$6:$H$66,8,FALSE),"Missing")="Verified"),OR(M67="",IFNA(VLOOKUP(M67,$A$6:$H$66,8,FALSE),"Missing")="Verified"),OR(N67="",IFNA(VLOOKUP(N67,$A$6:$H$66,8,FALSE),"Missing")="Verified")),"Ready","Dependency open")</f>
        <v>Dependency open</v>
      </c>
      <c r="P67" s="4" t="s">
        <v>352</v>
      </c>
      <c r="Q67" s="4" t="s">
        <v>353</v>
      </c>
      <c r="R67" s="8"/>
      <c r="S67" s="8">
        <v>6000.0</v>
      </c>
      <c r="T67" s="2" t="s">
        <v>315</v>
      </c>
      <c r="U67" s="4" t="s">
        <v>81</v>
      </c>
      <c r="V67" s="2" t="s">
        <v>17</v>
      </c>
    </row>
    <row r="68" ht="60.0" customHeight="1">
      <c r="A68" s="2" t="s">
        <v>354</v>
      </c>
      <c r="B68" s="2" t="s">
        <v>22</v>
      </c>
      <c r="C68" s="4" t="s">
        <v>346</v>
      </c>
      <c r="D68" s="4" t="s">
        <v>355</v>
      </c>
      <c r="E68" s="4" t="s">
        <v>75</v>
      </c>
      <c r="F68" s="4" t="s">
        <v>76</v>
      </c>
      <c r="G68" s="2" t="b">
        <v>0</v>
      </c>
      <c r="H68" s="2" t="str">
        <f t="shared" si="1"/>
        <v>Dependency open</v>
      </c>
      <c r="I68" s="2"/>
      <c r="J68" s="2"/>
      <c r="K68" s="2"/>
      <c r="L68" s="2" t="s">
        <v>350</v>
      </c>
      <c r="M68" s="2"/>
      <c r="N68" s="2"/>
      <c r="O68" s="2" t="str">
        <f>IF(AND(OR(L68="",IFNA(VLOOKUP(L68,$A$6:$H$67,8,FALSE),"Missing")="Verified"),OR(M68="",IFNA(VLOOKUP(M68,$A$6:$H$67,8,FALSE),"Missing")="Verified"),OR(N68="",IFNA(VLOOKUP(N68,$A$6:$H$67,8,FALSE),"Missing")="Verified")),"Ready","Dependency open")</f>
        <v>Dependency open</v>
      </c>
      <c r="P68" s="4" t="s">
        <v>356</v>
      </c>
      <c r="Q68" s="4" t="s">
        <v>357</v>
      </c>
      <c r="R68" s="8"/>
      <c r="S68" s="8">
        <v>6000.0</v>
      </c>
      <c r="T68" s="2" t="s">
        <v>315</v>
      </c>
      <c r="U68" s="4" t="s">
        <v>81</v>
      </c>
      <c r="V68" s="2" t="s">
        <v>17</v>
      </c>
    </row>
    <row r="69" ht="60.0" customHeight="1">
      <c r="A69" s="2" t="s">
        <v>358</v>
      </c>
      <c r="B69" s="2" t="s">
        <v>22</v>
      </c>
      <c r="C69" s="4" t="s">
        <v>346</v>
      </c>
      <c r="D69" s="4" t="s">
        <v>359</v>
      </c>
      <c r="E69" s="4" t="s">
        <v>75</v>
      </c>
      <c r="F69" s="4" t="s">
        <v>76</v>
      </c>
      <c r="G69" s="2" t="b">
        <v>0</v>
      </c>
      <c r="H69" s="2" t="str">
        <f t="shared" si="1"/>
        <v>Dependency open</v>
      </c>
      <c r="I69" s="2"/>
      <c r="J69" s="2"/>
      <c r="K69" s="2"/>
      <c r="L69" s="2" t="s">
        <v>354</v>
      </c>
      <c r="M69" s="2"/>
      <c r="N69" s="2"/>
      <c r="O69" s="2" t="str">
        <f>IF(AND(OR(L69="",IFNA(VLOOKUP(L69,$A$6:$H$68,8,FALSE),"Missing")="Verified"),OR(M69="",IFNA(VLOOKUP(M69,$A$6:$H$68,8,FALSE),"Missing")="Verified"),OR(N69="",IFNA(VLOOKUP(N69,$A$6:$H$68,8,FALSE),"Missing")="Verified")),"Ready","Dependency open")</f>
        <v>Dependency open</v>
      </c>
      <c r="P69" s="4" t="s">
        <v>360</v>
      </c>
      <c r="Q69" s="4" t="s">
        <v>361</v>
      </c>
      <c r="R69" s="8"/>
      <c r="S69" s="8">
        <v>6000.0</v>
      </c>
      <c r="T69" s="2" t="s">
        <v>315</v>
      </c>
      <c r="U69" s="4" t="s">
        <v>81</v>
      </c>
      <c r="V69" s="2" t="s">
        <v>17</v>
      </c>
    </row>
    <row r="70" ht="60.0" customHeight="1">
      <c r="A70" s="2" t="s">
        <v>362</v>
      </c>
      <c r="B70" s="2" t="s">
        <v>22</v>
      </c>
      <c r="C70" s="4" t="s">
        <v>363</v>
      </c>
      <c r="D70" s="4" t="s">
        <v>364</v>
      </c>
      <c r="E70" s="4" t="s">
        <v>132</v>
      </c>
      <c r="F70" s="4" t="s">
        <v>76</v>
      </c>
      <c r="G70" s="2" t="b">
        <v>0</v>
      </c>
      <c r="H70" s="2" t="str">
        <f t="shared" si="1"/>
        <v>Dependency open</v>
      </c>
      <c r="I70" s="2"/>
      <c r="J70" s="2"/>
      <c r="K70" s="2"/>
      <c r="L70" s="2" t="s">
        <v>324</v>
      </c>
      <c r="M70" s="2" t="s">
        <v>341</v>
      </c>
      <c r="N70" s="2" t="s">
        <v>358</v>
      </c>
      <c r="O70" s="2" t="str">
        <f>IF(AND(OR(L70="",IFNA(VLOOKUP(L70,$A$6:$H$69,8,FALSE),"Missing")="Verified"),OR(M70="",IFNA(VLOOKUP(M70,$A$6:$H$69,8,FALSE),"Missing")="Verified"),OR(N70="",IFNA(VLOOKUP(N70,$A$6:$H$69,8,FALSE),"Missing")="Verified")),"Ready","Dependency open")</f>
        <v>Dependency open</v>
      </c>
      <c r="P70" s="4" t="s">
        <v>133</v>
      </c>
      <c r="Q70" s="4" t="s">
        <v>134</v>
      </c>
      <c r="R70" s="8"/>
      <c r="S70" s="8">
        <v>4000.0</v>
      </c>
      <c r="T70" s="2" t="s">
        <v>365</v>
      </c>
      <c r="U70" s="4" t="s">
        <v>136</v>
      </c>
      <c r="V70" s="2" t="s">
        <v>17</v>
      </c>
    </row>
    <row r="71" ht="60.0" customHeight="1">
      <c r="A71" s="2" t="s">
        <v>366</v>
      </c>
      <c r="B71" s="2" t="s">
        <v>24</v>
      </c>
      <c r="C71" s="4" t="s">
        <v>367</v>
      </c>
      <c r="D71" s="4" t="s">
        <v>368</v>
      </c>
      <c r="E71" s="4" t="s">
        <v>369</v>
      </c>
      <c r="F71" s="4" t="s">
        <v>76</v>
      </c>
      <c r="G71" s="2" t="b">
        <v>0</v>
      </c>
      <c r="H71" s="2" t="str">
        <f t="shared" si="1"/>
        <v>Dependency open</v>
      </c>
      <c r="I71" s="2"/>
      <c r="J71" s="2"/>
      <c r="K71" s="2"/>
      <c r="L71" s="2" t="s">
        <v>362</v>
      </c>
      <c r="M71" s="2"/>
      <c r="N71" s="2"/>
      <c r="O71" s="2" t="str">
        <f>IF(AND(OR(L71="",IFNA(VLOOKUP(L71,$A$6:$H$70,8,FALSE),"Missing")="Verified"),OR(M71="",IFNA(VLOOKUP(M71,$A$6:$H$70,8,FALSE),"Missing")="Verified"),OR(N71="",IFNA(VLOOKUP(N71,$A$6:$H$70,8,FALSE),"Missing")="Verified")),"Ready","Dependency open")</f>
        <v>Dependency open</v>
      </c>
      <c r="P71" s="4" t="s">
        <v>370</v>
      </c>
      <c r="Q71" s="4" t="s">
        <v>371</v>
      </c>
      <c r="R71" s="8"/>
      <c r="S71" s="8">
        <v>6000.0</v>
      </c>
      <c r="T71" s="2" t="s">
        <v>372</v>
      </c>
      <c r="U71" s="4" t="s">
        <v>81</v>
      </c>
      <c r="V71" s="2" t="s">
        <v>26</v>
      </c>
    </row>
    <row r="72" ht="60.0" customHeight="1">
      <c r="A72" s="2" t="s">
        <v>373</v>
      </c>
      <c r="B72" s="2" t="s">
        <v>24</v>
      </c>
      <c r="C72" s="4" t="s">
        <v>367</v>
      </c>
      <c r="D72" s="4" t="s">
        <v>374</v>
      </c>
      <c r="E72" s="4" t="s">
        <v>369</v>
      </c>
      <c r="F72" s="4" t="s">
        <v>76</v>
      </c>
      <c r="G72" s="2" t="b">
        <v>0</v>
      </c>
      <c r="H72" s="2" t="str">
        <f t="shared" si="1"/>
        <v>Dependency open</v>
      </c>
      <c r="I72" s="2"/>
      <c r="J72" s="2"/>
      <c r="K72" s="2"/>
      <c r="L72" s="2" t="s">
        <v>366</v>
      </c>
      <c r="M72" s="2"/>
      <c r="N72" s="2"/>
      <c r="O72" s="2" t="str">
        <f>IF(AND(OR(L72="",IFNA(VLOOKUP(L72,$A$6:$H$71,8,FALSE),"Missing")="Verified"),OR(M72="",IFNA(VLOOKUP(M72,$A$6:$H$71,8,FALSE),"Missing")="Verified"),OR(N72="",IFNA(VLOOKUP(N72,$A$6:$H$71,8,FALSE),"Missing")="Verified")),"Ready","Dependency open")</f>
        <v>Dependency open</v>
      </c>
      <c r="P72" s="4" t="s">
        <v>375</v>
      </c>
      <c r="Q72" s="4" t="s">
        <v>376</v>
      </c>
      <c r="R72" s="8"/>
      <c r="S72" s="8">
        <v>6000.0</v>
      </c>
      <c r="T72" s="2" t="s">
        <v>372</v>
      </c>
      <c r="U72" s="4" t="s">
        <v>81</v>
      </c>
      <c r="V72" s="2" t="s">
        <v>26</v>
      </c>
    </row>
    <row r="73" ht="60.0" customHeight="1">
      <c r="A73" s="2" t="s">
        <v>377</v>
      </c>
      <c r="B73" s="2" t="s">
        <v>24</v>
      </c>
      <c r="C73" s="4" t="s">
        <v>367</v>
      </c>
      <c r="D73" s="4" t="s">
        <v>378</v>
      </c>
      <c r="E73" s="4" t="s">
        <v>369</v>
      </c>
      <c r="F73" s="4" t="s">
        <v>76</v>
      </c>
      <c r="G73" s="2" t="b">
        <v>0</v>
      </c>
      <c r="H73" s="2" t="str">
        <f t="shared" si="1"/>
        <v>Dependency open</v>
      </c>
      <c r="I73" s="2"/>
      <c r="J73" s="2"/>
      <c r="K73" s="2"/>
      <c r="L73" s="2" t="s">
        <v>373</v>
      </c>
      <c r="M73" s="2"/>
      <c r="N73" s="2"/>
      <c r="O73" s="2" t="str">
        <f>IF(AND(OR(L73="",IFNA(VLOOKUP(L73,$A$6:$H$72,8,FALSE),"Missing")="Verified"),OR(M73="",IFNA(VLOOKUP(M73,$A$6:$H$72,8,FALSE),"Missing")="Verified"),OR(N73="",IFNA(VLOOKUP(N73,$A$6:$H$72,8,FALSE),"Missing")="Verified")),"Ready","Dependency open")</f>
        <v>Dependency open</v>
      </c>
      <c r="P73" s="4" t="s">
        <v>379</v>
      </c>
      <c r="Q73" s="4" t="s">
        <v>380</v>
      </c>
      <c r="R73" s="8"/>
      <c r="S73" s="8">
        <v>6000.0</v>
      </c>
      <c r="T73" s="2" t="s">
        <v>372</v>
      </c>
      <c r="U73" s="4" t="s">
        <v>81</v>
      </c>
      <c r="V73" s="2" t="s">
        <v>26</v>
      </c>
    </row>
    <row r="74" ht="60.0" customHeight="1">
      <c r="A74" s="2" t="s">
        <v>381</v>
      </c>
      <c r="B74" s="2" t="s">
        <v>24</v>
      </c>
      <c r="C74" s="4" t="s">
        <v>367</v>
      </c>
      <c r="D74" s="4" t="s">
        <v>382</v>
      </c>
      <c r="E74" s="4" t="s">
        <v>369</v>
      </c>
      <c r="F74" s="4" t="s">
        <v>76</v>
      </c>
      <c r="G74" s="2" t="b">
        <v>0</v>
      </c>
      <c r="H74" s="2" t="str">
        <f t="shared" si="1"/>
        <v>Dependency open</v>
      </c>
      <c r="I74" s="2"/>
      <c r="J74" s="2"/>
      <c r="K74" s="2"/>
      <c r="L74" s="2" t="s">
        <v>377</v>
      </c>
      <c r="M74" s="2"/>
      <c r="N74" s="2"/>
      <c r="O74" s="2" t="str">
        <f>IF(AND(OR(L74="",IFNA(VLOOKUP(L74,$A$6:$H$73,8,FALSE),"Missing")="Verified"),OR(M74="",IFNA(VLOOKUP(M74,$A$6:$H$73,8,FALSE),"Missing")="Verified"),OR(N74="",IFNA(VLOOKUP(N74,$A$6:$H$73,8,FALSE),"Missing")="Verified")),"Ready","Dependency open")</f>
        <v>Dependency open</v>
      </c>
      <c r="P74" s="4" t="s">
        <v>383</v>
      </c>
      <c r="Q74" s="4" t="s">
        <v>384</v>
      </c>
      <c r="R74" s="8"/>
      <c r="S74" s="8">
        <v>6000.0</v>
      </c>
      <c r="T74" s="2" t="s">
        <v>372</v>
      </c>
      <c r="U74" s="4" t="s">
        <v>81</v>
      </c>
      <c r="V74" s="2" t="s">
        <v>26</v>
      </c>
    </row>
    <row r="75" ht="60.0" customHeight="1">
      <c r="A75" s="2" t="s">
        <v>385</v>
      </c>
      <c r="B75" s="2" t="s">
        <v>24</v>
      </c>
      <c r="C75" s="4" t="s">
        <v>386</v>
      </c>
      <c r="D75" s="4" t="s">
        <v>387</v>
      </c>
      <c r="E75" s="4" t="s">
        <v>388</v>
      </c>
      <c r="F75" s="4" t="s">
        <v>76</v>
      </c>
      <c r="G75" s="2" t="b">
        <v>0</v>
      </c>
      <c r="H75" s="2" t="str">
        <f t="shared" si="1"/>
        <v>Dependency open</v>
      </c>
      <c r="I75" s="2"/>
      <c r="J75" s="2"/>
      <c r="K75" s="2"/>
      <c r="L75" s="2" t="s">
        <v>362</v>
      </c>
      <c r="M75" s="2"/>
      <c r="N75" s="2"/>
      <c r="O75" s="2" t="str">
        <f>IF(AND(OR(L75="",IFNA(VLOOKUP(L75,$A$6:$H$74,8,FALSE),"Missing")="Verified"),OR(M75="",IFNA(VLOOKUP(M75,$A$6:$H$74,8,FALSE),"Missing")="Verified"),OR(N75="",IFNA(VLOOKUP(N75,$A$6:$H$74,8,FALSE),"Missing")="Verified")),"Ready","Dependency open")</f>
        <v>Dependency open</v>
      </c>
      <c r="P75" s="4" t="s">
        <v>389</v>
      </c>
      <c r="Q75" s="4" t="s">
        <v>390</v>
      </c>
      <c r="R75" s="8"/>
      <c r="S75" s="8">
        <v>6000.0</v>
      </c>
      <c r="T75" s="2" t="s">
        <v>372</v>
      </c>
      <c r="U75" s="4" t="s">
        <v>81</v>
      </c>
      <c r="V75" s="2" t="s">
        <v>26</v>
      </c>
    </row>
    <row r="76" ht="60.0" customHeight="1">
      <c r="A76" s="2" t="s">
        <v>391</v>
      </c>
      <c r="B76" s="2" t="s">
        <v>24</v>
      </c>
      <c r="C76" s="4" t="s">
        <v>386</v>
      </c>
      <c r="D76" s="4" t="s">
        <v>392</v>
      </c>
      <c r="E76" s="4" t="s">
        <v>388</v>
      </c>
      <c r="F76" s="4" t="s">
        <v>76</v>
      </c>
      <c r="G76" s="2" t="b">
        <v>0</v>
      </c>
      <c r="H76" s="2" t="str">
        <f t="shared" si="1"/>
        <v>Dependency open</v>
      </c>
      <c r="I76" s="2"/>
      <c r="J76" s="2"/>
      <c r="K76" s="2"/>
      <c r="L76" s="2" t="s">
        <v>385</v>
      </c>
      <c r="M76" s="2"/>
      <c r="N76" s="2"/>
      <c r="O76" s="2" t="str">
        <f>IF(AND(OR(L76="",IFNA(VLOOKUP(L76,$A$6:$H$75,8,FALSE),"Missing")="Verified"),OR(M76="",IFNA(VLOOKUP(M76,$A$6:$H$75,8,FALSE),"Missing")="Verified"),OR(N76="",IFNA(VLOOKUP(N76,$A$6:$H$75,8,FALSE),"Missing")="Verified")),"Ready","Dependency open")</f>
        <v>Dependency open</v>
      </c>
      <c r="P76" s="4" t="s">
        <v>393</v>
      </c>
      <c r="Q76" s="4" t="s">
        <v>394</v>
      </c>
      <c r="R76" s="8"/>
      <c r="S76" s="8">
        <v>6000.0</v>
      </c>
      <c r="T76" s="2" t="s">
        <v>372</v>
      </c>
      <c r="U76" s="4" t="s">
        <v>81</v>
      </c>
      <c r="V76" s="2" t="s">
        <v>26</v>
      </c>
    </row>
    <row r="77" ht="60.0" customHeight="1">
      <c r="A77" s="2" t="s">
        <v>395</v>
      </c>
      <c r="B77" s="2" t="s">
        <v>24</v>
      </c>
      <c r="C77" s="4" t="s">
        <v>386</v>
      </c>
      <c r="D77" s="4" t="s">
        <v>396</v>
      </c>
      <c r="E77" s="4" t="s">
        <v>388</v>
      </c>
      <c r="F77" s="4" t="s">
        <v>76</v>
      </c>
      <c r="G77" s="2" t="b">
        <v>0</v>
      </c>
      <c r="H77" s="2" t="str">
        <f t="shared" si="1"/>
        <v>Dependency open</v>
      </c>
      <c r="I77" s="2"/>
      <c r="J77" s="2"/>
      <c r="K77" s="2"/>
      <c r="L77" s="2" t="s">
        <v>391</v>
      </c>
      <c r="M77" s="2"/>
      <c r="N77" s="2"/>
      <c r="O77" s="2" t="str">
        <f>IF(AND(OR(L77="",IFNA(VLOOKUP(L77,$A$6:$H$76,8,FALSE),"Missing")="Verified"),OR(M77="",IFNA(VLOOKUP(M77,$A$6:$H$76,8,FALSE),"Missing")="Verified"),OR(N77="",IFNA(VLOOKUP(N77,$A$6:$H$76,8,FALSE),"Missing")="Verified")),"Ready","Dependency open")</f>
        <v>Dependency open</v>
      </c>
      <c r="P77" s="4" t="s">
        <v>397</v>
      </c>
      <c r="Q77" s="4" t="s">
        <v>398</v>
      </c>
      <c r="R77" s="8"/>
      <c r="S77" s="8">
        <v>6000.0</v>
      </c>
      <c r="T77" s="2" t="s">
        <v>372</v>
      </c>
      <c r="U77" s="4" t="s">
        <v>81</v>
      </c>
      <c r="V77" s="2" t="s">
        <v>26</v>
      </c>
    </row>
    <row r="78" ht="60.0" customHeight="1">
      <c r="A78" s="2" t="s">
        <v>399</v>
      </c>
      <c r="B78" s="2" t="s">
        <v>24</v>
      </c>
      <c r="C78" s="4" t="s">
        <v>386</v>
      </c>
      <c r="D78" s="4" t="s">
        <v>400</v>
      </c>
      <c r="E78" s="4" t="s">
        <v>388</v>
      </c>
      <c r="F78" s="4" t="s">
        <v>76</v>
      </c>
      <c r="G78" s="2" t="b">
        <v>0</v>
      </c>
      <c r="H78" s="2" t="str">
        <f t="shared" si="1"/>
        <v>Dependency open</v>
      </c>
      <c r="I78" s="2"/>
      <c r="J78" s="2"/>
      <c r="K78" s="2"/>
      <c r="L78" s="2" t="s">
        <v>395</v>
      </c>
      <c r="M78" s="2"/>
      <c r="N78" s="2"/>
      <c r="O78" s="2" t="str">
        <f>IF(AND(OR(L78="",IFNA(VLOOKUP(L78,$A$6:$H$77,8,FALSE),"Missing")="Verified"),OR(M78="",IFNA(VLOOKUP(M78,$A$6:$H$77,8,FALSE),"Missing")="Verified"),OR(N78="",IFNA(VLOOKUP(N78,$A$6:$H$77,8,FALSE),"Missing")="Verified")),"Ready","Dependency open")</f>
        <v>Dependency open</v>
      </c>
      <c r="P78" s="4" t="s">
        <v>401</v>
      </c>
      <c r="Q78" s="4" t="s">
        <v>402</v>
      </c>
      <c r="R78" s="8"/>
      <c r="S78" s="8">
        <v>6000.0</v>
      </c>
      <c r="T78" s="2" t="s">
        <v>372</v>
      </c>
      <c r="U78" s="4" t="s">
        <v>81</v>
      </c>
      <c r="V78" s="2" t="s">
        <v>26</v>
      </c>
    </row>
    <row r="79" ht="60.0" customHeight="1">
      <c r="A79" s="2" t="s">
        <v>403</v>
      </c>
      <c r="B79" s="2" t="s">
        <v>24</v>
      </c>
      <c r="C79" s="4" t="s">
        <v>404</v>
      </c>
      <c r="D79" s="4" t="s">
        <v>405</v>
      </c>
      <c r="E79" s="4" t="s">
        <v>216</v>
      </c>
      <c r="F79" s="4" t="s">
        <v>76</v>
      </c>
      <c r="G79" s="2" t="b">
        <v>0</v>
      </c>
      <c r="H79" s="2" t="str">
        <f t="shared" si="1"/>
        <v>Dependency open</v>
      </c>
      <c r="I79" s="2"/>
      <c r="J79" s="2"/>
      <c r="K79" s="2"/>
      <c r="L79" s="2" t="s">
        <v>362</v>
      </c>
      <c r="M79" s="2"/>
      <c r="N79" s="2"/>
      <c r="O79" s="2" t="str">
        <f>IF(AND(OR(L79="",IFNA(VLOOKUP(L79,$A$6:$H$78,8,FALSE),"Missing")="Verified"),OR(M79="",IFNA(VLOOKUP(M79,$A$6:$H$78,8,FALSE),"Missing")="Verified"),OR(N79="",IFNA(VLOOKUP(N79,$A$6:$H$78,8,FALSE),"Missing")="Verified")),"Ready","Dependency open")</f>
        <v>Dependency open</v>
      </c>
      <c r="P79" s="4" t="s">
        <v>406</v>
      </c>
      <c r="Q79" s="4" t="s">
        <v>407</v>
      </c>
      <c r="R79" s="8"/>
      <c r="S79" s="8">
        <v>6000.0</v>
      </c>
      <c r="T79" s="2" t="s">
        <v>372</v>
      </c>
      <c r="U79" s="4" t="s">
        <v>81</v>
      </c>
      <c r="V79" s="2" t="s">
        <v>26</v>
      </c>
    </row>
    <row r="80" ht="60.0" customHeight="1">
      <c r="A80" s="2" t="s">
        <v>408</v>
      </c>
      <c r="B80" s="2" t="s">
        <v>24</v>
      </c>
      <c r="C80" s="4" t="s">
        <v>404</v>
      </c>
      <c r="D80" s="4" t="s">
        <v>409</v>
      </c>
      <c r="E80" s="4" t="s">
        <v>216</v>
      </c>
      <c r="F80" s="4" t="s">
        <v>76</v>
      </c>
      <c r="G80" s="2" t="b">
        <v>0</v>
      </c>
      <c r="H80" s="2" t="str">
        <f t="shared" si="1"/>
        <v>Dependency open</v>
      </c>
      <c r="I80" s="2"/>
      <c r="J80" s="2"/>
      <c r="K80" s="2"/>
      <c r="L80" s="2" t="s">
        <v>403</v>
      </c>
      <c r="M80" s="2"/>
      <c r="N80" s="2"/>
      <c r="O80" s="2" t="str">
        <f>IF(AND(OR(L80="",IFNA(VLOOKUP(L80,$A$6:$H$79,8,FALSE),"Missing")="Verified"),OR(M80="",IFNA(VLOOKUP(M80,$A$6:$H$79,8,FALSE),"Missing")="Verified"),OR(N80="",IFNA(VLOOKUP(N80,$A$6:$H$79,8,FALSE),"Missing")="Verified")),"Ready","Dependency open")</f>
        <v>Dependency open</v>
      </c>
      <c r="P80" s="4" t="s">
        <v>410</v>
      </c>
      <c r="Q80" s="4" t="s">
        <v>411</v>
      </c>
      <c r="R80" s="8"/>
      <c r="S80" s="8">
        <v>6000.0</v>
      </c>
      <c r="T80" s="2" t="s">
        <v>372</v>
      </c>
      <c r="U80" s="4" t="s">
        <v>81</v>
      </c>
      <c r="V80" s="2" t="s">
        <v>26</v>
      </c>
    </row>
    <row r="81" ht="60.0" customHeight="1">
      <c r="A81" s="2" t="s">
        <v>412</v>
      </c>
      <c r="B81" s="2" t="s">
        <v>24</v>
      </c>
      <c r="C81" s="4" t="s">
        <v>404</v>
      </c>
      <c r="D81" s="4" t="s">
        <v>413</v>
      </c>
      <c r="E81" s="4" t="s">
        <v>216</v>
      </c>
      <c r="F81" s="4" t="s">
        <v>76</v>
      </c>
      <c r="G81" s="2" t="b">
        <v>0</v>
      </c>
      <c r="H81" s="2" t="str">
        <f t="shared" si="1"/>
        <v>Dependency open</v>
      </c>
      <c r="I81" s="2"/>
      <c r="J81" s="2"/>
      <c r="K81" s="2"/>
      <c r="L81" s="2" t="s">
        <v>408</v>
      </c>
      <c r="M81" s="2"/>
      <c r="N81" s="2"/>
      <c r="O81" s="2" t="str">
        <f>IF(AND(OR(L81="",IFNA(VLOOKUP(L81,$A$6:$H$80,8,FALSE),"Missing")="Verified"),OR(M81="",IFNA(VLOOKUP(M81,$A$6:$H$80,8,FALSE),"Missing")="Verified"),OR(N81="",IFNA(VLOOKUP(N81,$A$6:$H$80,8,FALSE),"Missing")="Verified")),"Ready","Dependency open")</f>
        <v>Dependency open</v>
      </c>
      <c r="P81" s="4" t="s">
        <v>414</v>
      </c>
      <c r="Q81" s="4" t="s">
        <v>415</v>
      </c>
      <c r="R81" s="8"/>
      <c r="S81" s="8">
        <v>6000.0</v>
      </c>
      <c r="T81" s="2" t="s">
        <v>372</v>
      </c>
      <c r="U81" s="4" t="s">
        <v>81</v>
      </c>
      <c r="V81" s="2" t="s">
        <v>26</v>
      </c>
    </row>
    <row r="82" ht="60.0" customHeight="1">
      <c r="A82" s="2" t="s">
        <v>416</v>
      </c>
      <c r="B82" s="2" t="s">
        <v>24</v>
      </c>
      <c r="C82" s="4" t="s">
        <v>404</v>
      </c>
      <c r="D82" s="4" t="s">
        <v>417</v>
      </c>
      <c r="E82" s="4" t="s">
        <v>216</v>
      </c>
      <c r="F82" s="4" t="s">
        <v>76</v>
      </c>
      <c r="G82" s="2" t="b">
        <v>0</v>
      </c>
      <c r="H82" s="2" t="str">
        <f t="shared" si="1"/>
        <v>Dependency open</v>
      </c>
      <c r="I82" s="2"/>
      <c r="J82" s="2"/>
      <c r="K82" s="2"/>
      <c r="L82" s="2" t="s">
        <v>412</v>
      </c>
      <c r="M82" s="2"/>
      <c r="N82" s="2"/>
      <c r="O82" s="2" t="str">
        <f>IF(AND(OR(L82="",IFNA(VLOOKUP(L82,$A$6:$H$81,8,FALSE),"Missing")="Verified"),OR(M82="",IFNA(VLOOKUP(M82,$A$6:$H$81,8,FALSE),"Missing")="Verified"),OR(N82="",IFNA(VLOOKUP(N82,$A$6:$H$81,8,FALSE),"Missing")="Verified")),"Ready","Dependency open")</f>
        <v>Dependency open</v>
      </c>
      <c r="P82" s="4" t="s">
        <v>418</v>
      </c>
      <c r="Q82" s="4" t="s">
        <v>419</v>
      </c>
      <c r="R82" s="8"/>
      <c r="S82" s="8">
        <v>6000.0</v>
      </c>
      <c r="T82" s="2" t="s">
        <v>372</v>
      </c>
      <c r="U82" s="4" t="s">
        <v>81</v>
      </c>
      <c r="V82" s="2" t="s">
        <v>26</v>
      </c>
    </row>
    <row r="83" ht="60.0" customHeight="1">
      <c r="A83" s="2" t="s">
        <v>420</v>
      </c>
      <c r="B83" s="2" t="s">
        <v>24</v>
      </c>
      <c r="C83" s="4" t="s">
        <v>421</v>
      </c>
      <c r="D83" s="4" t="s">
        <v>422</v>
      </c>
      <c r="E83" s="4" t="s">
        <v>132</v>
      </c>
      <c r="F83" s="4" t="s">
        <v>76</v>
      </c>
      <c r="G83" s="2" t="b">
        <v>0</v>
      </c>
      <c r="H83" s="2" t="str">
        <f t="shared" si="1"/>
        <v>Dependency open</v>
      </c>
      <c r="I83" s="2"/>
      <c r="J83" s="2"/>
      <c r="K83" s="2"/>
      <c r="L83" s="2" t="s">
        <v>381</v>
      </c>
      <c r="M83" s="2" t="s">
        <v>399</v>
      </c>
      <c r="N83" s="2" t="s">
        <v>416</v>
      </c>
      <c r="O83" s="2" t="str">
        <f>IF(AND(OR(L83="",IFNA(VLOOKUP(L83,$A$6:$H$82,8,FALSE),"Missing")="Verified"),OR(M83="",IFNA(VLOOKUP(M83,$A$6:$H$82,8,FALSE),"Missing")="Verified"),OR(N83="",IFNA(VLOOKUP(N83,$A$6:$H$82,8,FALSE),"Missing")="Verified")),"Ready","Dependency open")</f>
        <v>Dependency open</v>
      </c>
      <c r="P83" s="4" t="s">
        <v>133</v>
      </c>
      <c r="Q83" s="4" t="s">
        <v>134</v>
      </c>
      <c r="R83" s="8"/>
      <c r="S83" s="8">
        <v>4000.0</v>
      </c>
      <c r="T83" s="2" t="s">
        <v>423</v>
      </c>
      <c r="U83" s="4" t="s">
        <v>136</v>
      </c>
      <c r="V83" s="2" t="s">
        <v>26</v>
      </c>
    </row>
    <row r="84" ht="60.0" customHeight="1">
      <c r="A84" s="2" t="s">
        <v>424</v>
      </c>
      <c r="B84" s="2" t="s">
        <v>27</v>
      </c>
      <c r="C84" s="4" t="s">
        <v>425</v>
      </c>
      <c r="D84" s="4" t="s">
        <v>426</v>
      </c>
      <c r="E84" s="4" t="s">
        <v>427</v>
      </c>
      <c r="F84" s="4" t="s">
        <v>76</v>
      </c>
      <c r="G84" s="2" t="b">
        <v>0</v>
      </c>
      <c r="H84" s="2" t="str">
        <f t="shared" si="1"/>
        <v>Dependency open</v>
      </c>
      <c r="I84" s="2"/>
      <c r="J84" s="2"/>
      <c r="K84" s="2"/>
      <c r="L84" s="2" t="s">
        <v>362</v>
      </c>
      <c r="M84" s="2"/>
      <c r="N84" s="2"/>
      <c r="O84" s="2" t="str">
        <f>IF(AND(OR(L84="",IFNA(VLOOKUP(L84,$A$6:$H$83,8,FALSE),"Missing")="Verified"),OR(M84="",IFNA(VLOOKUP(M84,$A$6:$H$83,8,FALSE),"Missing")="Verified"),OR(N84="",IFNA(VLOOKUP(N84,$A$6:$H$83,8,FALSE),"Missing")="Verified")),"Ready","Dependency open")</f>
        <v>Dependency open</v>
      </c>
      <c r="P84" s="4" t="s">
        <v>428</v>
      </c>
      <c r="Q84" s="4" t="s">
        <v>429</v>
      </c>
      <c r="R84" s="8"/>
      <c r="S84" s="8">
        <v>6000.0</v>
      </c>
      <c r="T84" s="2" t="s">
        <v>430</v>
      </c>
      <c r="U84" s="4" t="s">
        <v>81</v>
      </c>
      <c r="V84" s="2" t="s">
        <v>26</v>
      </c>
    </row>
    <row r="85" ht="60.0" customHeight="1">
      <c r="A85" s="2" t="s">
        <v>431</v>
      </c>
      <c r="B85" s="2" t="s">
        <v>27</v>
      </c>
      <c r="C85" s="4" t="s">
        <v>425</v>
      </c>
      <c r="D85" s="4" t="s">
        <v>432</v>
      </c>
      <c r="E85" s="4" t="s">
        <v>427</v>
      </c>
      <c r="F85" s="4" t="s">
        <v>76</v>
      </c>
      <c r="G85" s="2" t="b">
        <v>0</v>
      </c>
      <c r="H85" s="2" t="str">
        <f t="shared" si="1"/>
        <v>Dependency open</v>
      </c>
      <c r="I85" s="2"/>
      <c r="J85" s="2"/>
      <c r="K85" s="2"/>
      <c r="L85" s="2" t="s">
        <v>424</v>
      </c>
      <c r="M85" s="2"/>
      <c r="N85" s="2"/>
      <c r="O85" s="2" t="str">
        <f>IF(AND(OR(L85="",IFNA(VLOOKUP(L85,$A$6:$H$84,8,FALSE),"Missing")="Verified"),OR(M85="",IFNA(VLOOKUP(M85,$A$6:$H$84,8,FALSE),"Missing")="Verified"),OR(N85="",IFNA(VLOOKUP(N85,$A$6:$H$84,8,FALSE),"Missing")="Verified")),"Ready","Dependency open")</f>
        <v>Dependency open</v>
      </c>
      <c r="P85" s="4" t="s">
        <v>433</v>
      </c>
      <c r="Q85" s="4" t="s">
        <v>434</v>
      </c>
      <c r="R85" s="8"/>
      <c r="S85" s="8">
        <v>6000.0</v>
      </c>
      <c r="T85" s="2" t="s">
        <v>430</v>
      </c>
      <c r="U85" s="4" t="s">
        <v>81</v>
      </c>
      <c r="V85" s="2" t="s">
        <v>26</v>
      </c>
    </row>
    <row r="86" ht="60.0" customHeight="1">
      <c r="A86" s="2" t="s">
        <v>435</v>
      </c>
      <c r="B86" s="2" t="s">
        <v>27</v>
      </c>
      <c r="C86" s="4" t="s">
        <v>425</v>
      </c>
      <c r="D86" s="4" t="s">
        <v>436</v>
      </c>
      <c r="E86" s="4" t="s">
        <v>427</v>
      </c>
      <c r="F86" s="4" t="s">
        <v>76</v>
      </c>
      <c r="G86" s="2" t="b">
        <v>0</v>
      </c>
      <c r="H86" s="2" t="str">
        <f t="shared" si="1"/>
        <v>Dependency open</v>
      </c>
      <c r="I86" s="2"/>
      <c r="J86" s="2"/>
      <c r="K86" s="2"/>
      <c r="L86" s="2" t="s">
        <v>431</v>
      </c>
      <c r="M86" s="2"/>
      <c r="N86" s="2"/>
      <c r="O86" s="2" t="str">
        <f>IF(AND(OR(L86="",IFNA(VLOOKUP(L86,$A$6:$H$85,8,FALSE),"Missing")="Verified"),OR(M86="",IFNA(VLOOKUP(M86,$A$6:$H$85,8,FALSE),"Missing")="Verified"),OR(N86="",IFNA(VLOOKUP(N86,$A$6:$H$85,8,FALSE),"Missing")="Verified")),"Ready","Dependency open")</f>
        <v>Dependency open</v>
      </c>
      <c r="P86" s="4" t="s">
        <v>437</v>
      </c>
      <c r="Q86" s="4" t="s">
        <v>438</v>
      </c>
      <c r="R86" s="8"/>
      <c r="S86" s="8">
        <v>6000.0</v>
      </c>
      <c r="T86" s="2" t="s">
        <v>430</v>
      </c>
      <c r="U86" s="4" t="s">
        <v>81</v>
      </c>
      <c r="V86" s="2" t="s">
        <v>26</v>
      </c>
    </row>
    <row r="87" ht="60.0" customHeight="1">
      <c r="A87" s="2" t="s">
        <v>439</v>
      </c>
      <c r="B87" s="2" t="s">
        <v>27</v>
      </c>
      <c r="C87" s="4" t="s">
        <v>425</v>
      </c>
      <c r="D87" s="4" t="s">
        <v>440</v>
      </c>
      <c r="E87" s="4" t="s">
        <v>427</v>
      </c>
      <c r="F87" s="4" t="s">
        <v>76</v>
      </c>
      <c r="G87" s="2" t="b">
        <v>0</v>
      </c>
      <c r="H87" s="2" t="str">
        <f t="shared" si="1"/>
        <v>Dependency open</v>
      </c>
      <c r="I87" s="2"/>
      <c r="J87" s="2"/>
      <c r="K87" s="2"/>
      <c r="L87" s="2" t="s">
        <v>435</v>
      </c>
      <c r="M87" s="2"/>
      <c r="N87" s="2"/>
      <c r="O87" s="2" t="str">
        <f>IF(AND(OR(L87="",IFNA(VLOOKUP(L87,$A$6:$H$86,8,FALSE),"Missing")="Verified"),OR(M87="",IFNA(VLOOKUP(M87,$A$6:$H$86,8,FALSE),"Missing")="Verified"),OR(N87="",IFNA(VLOOKUP(N87,$A$6:$H$86,8,FALSE),"Missing")="Verified")),"Ready","Dependency open")</f>
        <v>Dependency open</v>
      </c>
      <c r="P87" s="4" t="s">
        <v>441</v>
      </c>
      <c r="Q87" s="4" t="s">
        <v>442</v>
      </c>
      <c r="R87" s="8"/>
      <c r="S87" s="8">
        <v>6000.0</v>
      </c>
      <c r="T87" s="2" t="s">
        <v>430</v>
      </c>
      <c r="U87" s="4" t="s">
        <v>81</v>
      </c>
      <c r="V87" s="2" t="s">
        <v>26</v>
      </c>
    </row>
    <row r="88" ht="60.0" customHeight="1">
      <c r="A88" s="2" t="s">
        <v>443</v>
      </c>
      <c r="B88" s="2" t="s">
        <v>27</v>
      </c>
      <c r="C88" s="4" t="s">
        <v>444</v>
      </c>
      <c r="D88" s="4" t="s">
        <v>445</v>
      </c>
      <c r="E88" s="4" t="s">
        <v>446</v>
      </c>
      <c r="F88" s="4" t="s">
        <v>76</v>
      </c>
      <c r="G88" s="2" t="b">
        <v>0</v>
      </c>
      <c r="H88" s="2" t="str">
        <f t="shared" si="1"/>
        <v>Dependency open</v>
      </c>
      <c r="I88" s="2"/>
      <c r="J88" s="2"/>
      <c r="K88" s="2"/>
      <c r="L88" s="2" t="s">
        <v>362</v>
      </c>
      <c r="M88" s="2"/>
      <c r="N88" s="2"/>
      <c r="O88" s="2" t="str">
        <f>IF(AND(OR(L88="",IFNA(VLOOKUP(L88,$A$6:$H$87,8,FALSE),"Missing")="Verified"),OR(M88="",IFNA(VLOOKUP(M88,$A$6:$H$87,8,FALSE),"Missing")="Verified"),OR(N88="",IFNA(VLOOKUP(N88,$A$6:$H$87,8,FALSE),"Missing")="Verified")),"Ready","Dependency open")</f>
        <v>Dependency open</v>
      </c>
      <c r="P88" s="4" t="s">
        <v>447</v>
      </c>
      <c r="Q88" s="4" t="s">
        <v>448</v>
      </c>
      <c r="R88" s="8"/>
      <c r="S88" s="8">
        <v>6000.0</v>
      </c>
      <c r="T88" s="2" t="s">
        <v>430</v>
      </c>
      <c r="U88" s="4" t="s">
        <v>81</v>
      </c>
      <c r="V88" s="2" t="s">
        <v>26</v>
      </c>
    </row>
    <row r="89" ht="60.0" customHeight="1">
      <c r="A89" s="2" t="s">
        <v>449</v>
      </c>
      <c r="B89" s="2" t="s">
        <v>27</v>
      </c>
      <c r="C89" s="4" t="s">
        <v>444</v>
      </c>
      <c r="D89" s="4" t="s">
        <v>450</v>
      </c>
      <c r="E89" s="4" t="s">
        <v>446</v>
      </c>
      <c r="F89" s="4" t="s">
        <v>76</v>
      </c>
      <c r="G89" s="2" t="b">
        <v>0</v>
      </c>
      <c r="H89" s="2" t="str">
        <f t="shared" si="1"/>
        <v>Dependency open</v>
      </c>
      <c r="I89" s="2"/>
      <c r="J89" s="2"/>
      <c r="K89" s="2"/>
      <c r="L89" s="2" t="s">
        <v>443</v>
      </c>
      <c r="M89" s="2"/>
      <c r="N89" s="2"/>
      <c r="O89" s="2" t="str">
        <f>IF(AND(OR(L89="",IFNA(VLOOKUP(L89,$A$6:$H$88,8,FALSE),"Missing")="Verified"),OR(M89="",IFNA(VLOOKUP(M89,$A$6:$H$88,8,FALSE),"Missing")="Verified"),OR(N89="",IFNA(VLOOKUP(N89,$A$6:$H$88,8,FALSE),"Missing")="Verified")),"Ready","Dependency open")</f>
        <v>Dependency open</v>
      </c>
      <c r="P89" s="4" t="s">
        <v>451</v>
      </c>
      <c r="Q89" s="4" t="s">
        <v>452</v>
      </c>
      <c r="R89" s="8"/>
      <c r="S89" s="8">
        <v>6000.0</v>
      </c>
      <c r="T89" s="2" t="s">
        <v>430</v>
      </c>
      <c r="U89" s="4" t="s">
        <v>81</v>
      </c>
      <c r="V89" s="2" t="s">
        <v>26</v>
      </c>
    </row>
    <row r="90" ht="60.0" customHeight="1">
      <c r="A90" s="2" t="s">
        <v>453</v>
      </c>
      <c r="B90" s="2" t="s">
        <v>27</v>
      </c>
      <c r="C90" s="4" t="s">
        <v>444</v>
      </c>
      <c r="D90" s="4" t="s">
        <v>454</v>
      </c>
      <c r="E90" s="4" t="s">
        <v>446</v>
      </c>
      <c r="F90" s="4" t="s">
        <v>76</v>
      </c>
      <c r="G90" s="2" t="b">
        <v>0</v>
      </c>
      <c r="H90" s="2" t="str">
        <f t="shared" si="1"/>
        <v>Dependency open</v>
      </c>
      <c r="I90" s="2"/>
      <c r="J90" s="2"/>
      <c r="K90" s="2"/>
      <c r="L90" s="2" t="s">
        <v>449</v>
      </c>
      <c r="M90" s="2"/>
      <c r="N90" s="2"/>
      <c r="O90" s="2" t="str">
        <f>IF(AND(OR(L90="",IFNA(VLOOKUP(L90,$A$6:$H$89,8,FALSE),"Missing")="Verified"),OR(M90="",IFNA(VLOOKUP(M90,$A$6:$H$89,8,FALSE),"Missing")="Verified"),OR(N90="",IFNA(VLOOKUP(N90,$A$6:$H$89,8,FALSE),"Missing")="Verified")),"Ready","Dependency open")</f>
        <v>Dependency open</v>
      </c>
      <c r="P90" s="4" t="s">
        <v>455</v>
      </c>
      <c r="Q90" s="4" t="s">
        <v>456</v>
      </c>
      <c r="R90" s="8"/>
      <c r="S90" s="8">
        <v>6000.0</v>
      </c>
      <c r="T90" s="2" t="s">
        <v>430</v>
      </c>
      <c r="U90" s="4" t="s">
        <v>81</v>
      </c>
      <c r="V90" s="2" t="s">
        <v>26</v>
      </c>
    </row>
    <row r="91" ht="60.0" customHeight="1">
      <c r="A91" s="2" t="s">
        <v>457</v>
      </c>
      <c r="B91" s="2" t="s">
        <v>27</v>
      </c>
      <c r="C91" s="4" t="s">
        <v>444</v>
      </c>
      <c r="D91" s="4" t="s">
        <v>458</v>
      </c>
      <c r="E91" s="4" t="s">
        <v>446</v>
      </c>
      <c r="F91" s="4" t="s">
        <v>76</v>
      </c>
      <c r="G91" s="2" t="b">
        <v>0</v>
      </c>
      <c r="H91" s="2" t="str">
        <f t="shared" si="1"/>
        <v>Dependency open</v>
      </c>
      <c r="I91" s="2"/>
      <c r="J91" s="2"/>
      <c r="K91" s="2"/>
      <c r="L91" s="2" t="s">
        <v>453</v>
      </c>
      <c r="M91" s="2"/>
      <c r="N91" s="2"/>
      <c r="O91" s="2" t="str">
        <f>IF(AND(OR(L91="",IFNA(VLOOKUP(L91,$A$6:$H$90,8,FALSE),"Missing")="Verified"),OR(M91="",IFNA(VLOOKUP(M91,$A$6:$H$90,8,FALSE),"Missing")="Verified"),OR(N91="",IFNA(VLOOKUP(N91,$A$6:$H$90,8,FALSE),"Missing")="Verified")),"Ready","Dependency open")</f>
        <v>Dependency open</v>
      </c>
      <c r="P91" s="4" t="s">
        <v>459</v>
      </c>
      <c r="Q91" s="4" t="s">
        <v>460</v>
      </c>
      <c r="R91" s="8"/>
      <c r="S91" s="8">
        <v>6000.0</v>
      </c>
      <c r="T91" s="2" t="s">
        <v>430</v>
      </c>
      <c r="U91" s="4" t="s">
        <v>81</v>
      </c>
      <c r="V91" s="2" t="s">
        <v>26</v>
      </c>
    </row>
    <row r="92" ht="60.0" customHeight="1">
      <c r="A92" s="2" t="s">
        <v>461</v>
      </c>
      <c r="B92" s="2" t="s">
        <v>27</v>
      </c>
      <c r="C92" s="4" t="s">
        <v>462</v>
      </c>
      <c r="D92" s="4" t="s">
        <v>463</v>
      </c>
      <c r="E92" s="4" t="s">
        <v>446</v>
      </c>
      <c r="F92" s="4" t="s">
        <v>76</v>
      </c>
      <c r="G92" s="2" t="b">
        <v>0</v>
      </c>
      <c r="H92" s="2" t="str">
        <f t="shared" si="1"/>
        <v>Dependency open</v>
      </c>
      <c r="I92" s="2"/>
      <c r="J92" s="2"/>
      <c r="K92" s="2"/>
      <c r="L92" s="2" t="s">
        <v>362</v>
      </c>
      <c r="M92" s="2"/>
      <c r="N92" s="2"/>
      <c r="O92" s="2" t="str">
        <f>IF(AND(OR(L92="",IFNA(VLOOKUP(L92,$A$6:$H$91,8,FALSE),"Missing")="Verified"),OR(M92="",IFNA(VLOOKUP(M92,$A$6:$H$91,8,FALSE),"Missing")="Verified"),OR(N92="",IFNA(VLOOKUP(N92,$A$6:$H$91,8,FALSE),"Missing")="Verified")),"Ready","Dependency open")</f>
        <v>Dependency open</v>
      </c>
      <c r="P92" s="4" t="s">
        <v>464</v>
      </c>
      <c r="Q92" s="4" t="s">
        <v>465</v>
      </c>
      <c r="R92" s="8"/>
      <c r="S92" s="8">
        <v>6000.0</v>
      </c>
      <c r="T92" s="2" t="s">
        <v>430</v>
      </c>
      <c r="U92" s="4" t="s">
        <v>81</v>
      </c>
      <c r="V92" s="2" t="s">
        <v>26</v>
      </c>
    </row>
    <row r="93" ht="60.0" customHeight="1">
      <c r="A93" s="2" t="s">
        <v>466</v>
      </c>
      <c r="B93" s="2" t="s">
        <v>27</v>
      </c>
      <c r="C93" s="4" t="s">
        <v>462</v>
      </c>
      <c r="D93" s="4" t="s">
        <v>467</v>
      </c>
      <c r="E93" s="4" t="s">
        <v>446</v>
      </c>
      <c r="F93" s="4" t="s">
        <v>76</v>
      </c>
      <c r="G93" s="2" t="b">
        <v>0</v>
      </c>
      <c r="H93" s="2" t="str">
        <f t="shared" si="1"/>
        <v>Dependency open</v>
      </c>
      <c r="I93" s="2"/>
      <c r="J93" s="2"/>
      <c r="K93" s="2"/>
      <c r="L93" s="2" t="s">
        <v>461</v>
      </c>
      <c r="M93" s="2"/>
      <c r="N93" s="2"/>
      <c r="O93" s="2" t="str">
        <f>IF(AND(OR(L93="",IFNA(VLOOKUP(L93,$A$6:$H$92,8,FALSE),"Missing")="Verified"),OR(M93="",IFNA(VLOOKUP(M93,$A$6:$H$92,8,FALSE),"Missing")="Verified"),OR(N93="",IFNA(VLOOKUP(N93,$A$6:$H$92,8,FALSE),"Missing")="Verified")),"Ready","Dependency open")</f>
        <v>Dependency open</v>
      </c>
      <c r="P93" s="4" t="s">
        <v>468</v>
      </c>
      <c r="Q93" s="4" t="s">
        <v>469</v>
      </c>
      <c r="R93" s="8"/>
      <c r="S93" s="8">
        <v>6000.0</v>
      </c>
      <c r="T93" s="2" t="s">
        <v>430</v>
      </c>
      <c r="U93" s="4" t="s">
        <v>81</v>
      </c>
      <c r="V93" s="2" t="s">
        <v>26</v>
      </c>
    </row>
    <row r="94" ht="60.0" customHeight="1">
      <c r="A94" s="2" t="s">
        <v>470</v>
      </c>
      <c r="B94" s="2" t="s">
        <v>27</v>
      </c>
      <c r="C94" s="4" t="s">
        <v>462</v>
      </c>
      <c r="D94" s="4" t="s">
        <v>471</v>
      </c>
      <c r="E94" s="4" t="s">
        <v>446</v>
      </c>
      <c r="F94" s="4" t="s">
        <v>76</v>
      </c>
      <c r="G94" s="2" t="b">
        <v>0</v>
      </c>
      <c r="H94" s="2" t="str">
        <f t="shared" si="1"/>
        <v>Dependency open</v>
      </c>
      <c r="I94" s="2"/>
      <c r="J94" s="2"/>
      <c r="K94" s="2"/>
      <c r="L94" s="2" t="s">
        <v>466</v>
      </c>
      <c r="M94" s="2"/>
      <c r="N94" s="2"/>
      <c r="O94" s="2" t="str">
        <f>IF(AND(OR(L94="",IFNA(VLOOKUP(L94,$A$6:$H$93,8,FALSE),"Missing")="Verified"),OR(M94="",IFNA(VLOOKUP(M94,$A$6:$H$93,8,FALSE),"Missing")="Verified"),OR(N94="",IFNA(VLOOKUP(N94,$A$6:$H$93,8,FALSE),"Missing")="Verified")),"Ready","Dependency open")</f>
        <v>Dependency open</v>
      </c>
      <c r="P94" s="4" t="s">
        <v>472</v>
      </c>
      <c r="Q94" s="4" t="s">
        <v>473</v>
      </c>
      <c r="R94" s="8"/>
      <c r="S94" s="8">
        <v>6000.0</v>
      </c>
      <c r="T94" s="2" t="s">
        <v>430</v>
      </c>
      <c r="U94" s="4" t="s">
        <v>81</v>
      </c>
      <c r="V94" s="2" t="s">
        <v>26</v>
      </c>
    </row>
    <row r="95" ht="60.0" customHeight="1">
      <c r="A95" s="2" t="s">
        <v>474</v>
      </c>
      <c r="B95" s="2" t="s">
        <v>27</v>
      </c>
      <c r="C95" s="4" t="s">
        <v>462</v>
      </c>
      <c r="D95" s="4" t="s">
        <v>475</v>
      </c>
      <c r="E95" s="4" t="s">
        <v>446</v>
      </c>
      <c r="F95" s="4" t="s">
        <v>76</v>
      </c>
      <c r="G95" s="2" t="b">
        <v>0</v>
      </c>
      <c r="H95" s="2" t="str">
        <f t="shared" si="1"/>
        <v>Dependency open</v>
      </c>
      <c r="I95" s="2"/>
      <c r="J95" s="2"/>
      <c r="K95" s="2"/>
      <c r="L95" s="2" t="s">
        <v>470</v>
      </c>
      <c r="M95" s="2"/>
      <c r="N95" s="2"/>
      <c r="O95" s="2" t="str">
        <f>IF(AND(OR(L95="",IFNA(VLOOKUP(L95,$A$6:$H$94,8,FALSE),"Missing")="Verified"),OR(M95="",IFNA(VLOOKUP(M95,$A$6:$H$94,8,FALSE),"Missing")="Verified"),OR(N95="",IFNA(VLOOKUP(N95,$A$6:$H$94,8,FALSE),"Missing")="Verified")),"Ready","Dependency open")</f>
        <v>Dependency open</v>
      </c>
      <c r="P95" s="4" t="s">
        <v>476</v>
      </c>
      <c r="Q95" s="4" t="s">
        <v>477</v>
      </c>
      <c r="R95" s="8"/>
      <c r="S95" s="8">
        <v>6000.0</v>
      </c>
      <c r="T95" s="2" t="s">
        <v>430</v>
      </c>
      <c r="U95" s="4" t="s">
        <v>81</v>
      </c>
      <c r="V95" s="2" t="s">
        <v>26</v>
      </c>
    </row>
    <row r="96" ht="60.0" customHeight="1">
      <c r="A96" s="2" t="s">
        <v>478</v>
      </c>
      <c r="B96" s="2" t="s">
        <v>27</v>
      </c>
      <c r="C96" s="4" t="s">
        <v>479</v>
      </c>
      <c r="D96" s="4" t="s">
        <v>480</v>
      </c>
      <c r="E96" s="4" t="s">
        <v>132</v>
      </c>
      <c r="F96" s="4" t="s">
        <v>76</v>
      </c>
      <c r="G96" s="2" t="b">
        <v>0</v>
      </c>
      <c r="H96" s="2" t="str">
        <f t="shared" si="1"/>
        <v>Dependency open</v>
      </c>
      <c r="I96" s="2"/>
      <c r="J96" s="2"/>
      <c r="K96" s="2"/>
      <c r="L96" s="2" t="s">
        <v>439</v>
      </c>
      <c r="M96" s="2" t="s">
        <v>457</v>
      </c>
      <c r="N96" s="2" t="s">
        <v>474</v>
      </c>
      <c r="O96" s="2" t="str">
        <f>IF(AND(OR(L96="",IFNA(VLOOKUP(L96,$A$6:$H$95,8,FALSE),"Missing")="Verified"),OR(M96="",IFNA(VLOOKUP(M96,$A$6:$H$95,8,FALSE),"Missing")="Verified"),OR(N96="",IFNA(VLOOKUP(N96,$A$6:$H$95,8,FALSE),"Missing")="Verified")),"Ready","Dependency open")</f>
        <v>Dependency open</v>
      </c>
      <c r="P96" s="4" t="s">
        <v>133</v>
      </c>
      <c r="Q96" s="4" t="s">
        <v>134</v>
      </c>
      <c r="R96" s="8"/>
      <c r="S96" s="8">
        <v>4000.0</v>
      </c>
      <c r="T96" s="2" t="s">
        <v>481</v>
      </c>
      <c r="U96" s="4" t="s">
        <v>136</v>
      </c>
      <c r="V96" s="2" t="s">
        <v>26</v>
      </c>
    </row>
    <row r="97" ht="60.0" customHeight="1">
      <c r="A97" s="2" t="s">
        <v>482</v>
      </c>
      <c r="B97" s="2" t="s">
        <v>29</v>
      </c>
      <c r="C97" s="4" t="s">
        <v>483</v>
      </c>
      <c r="D97" s="4" t="s">
        <v>484</v>
      </c>
      <c r="E97" s="4" t="s">
        <v>485</v>
      </c>
      <c r="F97" s="4" t="s">
        <v>76</v>
      </c>
      <c r="G97" s="2" t="b">
        <v>0</v>
      </c>
      <c r="H97" s="2" t="str">
        <f t="shared" si="1"/>
        <v>Dependency open</v>
      </c>
      <c r="I97" s="2"/>
      <c r="J97" s="2"/>
      <c r="K97" s="2"/>
      <c r="L97" s="2" t="s">
        <v>478</v>
      </c>
      <c r="M97" s="2"/>
      <c r="N97" s="2"/>
      <c r="O97" s="2" t="str">
        <f>IF(AND(OR(L97="",IFNA(VLOOKUP(L97,$A$6:$H$96,8,FALSE),"Missing")="Verified"),OR(M97="",IFNA(VLOOKUP(M97,$A$6:$H$96,8,FALSE),"Missing")="Verified"),OR(N97="",IFNA(VLOOKUP(N97,$A$6:$H$96,8,FALSE),"Missing")="Verified")),"Ready","Dependency open")</f>
        <v>Dependency open</v>
      </c>
      <c r="P97" s="4" t="s">
        <v>486</v>
      </c>
      <c r="Q97" s="4" t="s">
        <v>487</v>
      </c>
      <c r="R97" s="8"/>
      <c r="S97" s="8">
        <v>6000.0</v>
      </c>
      <c r="T97" s="2" t="s">
        <v>488</v>
      </c>
      <c r="U97" s="4" t="s">
        <v>81</v>
      </c>
      <c r="V97" s="2" t="s">
        <v>26</v>
      </c>
    </row>
    <row r="98" ht="60.0" customHeight="1">
      <c r="A98" s="2" t="s">
        <v>489</v>
      </c>
      <c r="B98" s="2" t="s">
        <v>29</v>
      </c>
      <c r="C98" s="4" t="s">
        <v>483</v>
      </c>
      <c r="D98" s="4" t="s">
        <v>490</v>
      </c>
      <c r="E98" s="4" t="s">
        <v>485</v>
      </c>
      <c r="F98" s="4" t="s">
        <v>76</v>
      </c>
      <c r="G98" s="2" t="b">
        <v>0</v>
      </c>
      <c r="H98" s="2" t="str">
        <f t="shared" si="1"/>
        <v>Dependency open</v>
      </c>
      <c r="I98" s="2"/>
      <c r="J98" s="2"/>
      <c r="K98" s="2"/>
      <c r="L98" s="2" t="s">
        <v>482</v>
      </c>
      <c r="M98" s="2"/>
      <c r="N98" s="2"/>
      <c r="O98" s="2" t="str">
        <f>IF(AND(OR(L98="",IFNA(VLOOKUP(L98,$A$6:$H$97,8,FALSE),"Missing")="Verified"),OR(M98="",IFNA(VLOOKUP(M98,$A$6:$H$97,8,FALSE),"Missing")="Verified"),OR(N98="",IFNA(VLOOKUP(N98,$A$6:$H$97,8,FALSE),"Missing")="Verified")),"Ready","Dependency open")</f>
        <v>Dependency open</v>
      </c>
      <c r="P98" s="4" t="s">
        <v>491</v>
      </c>
      <c r="Q98" s="4" t="s">
        <v>492</v>
      </c>
      <c r="R98" s="8"/>
      <c r="S98" s="8">
        <v>6000.0</v>
      </c>
      <c r="T98" s="2" t="s">
        <v>488</v>
      </c>
      <c r="U98" s="4" t="s">
        <v>81</v>
      </c>
      <c r="V98" s="2" t="s">
        <v>26</v>
      </c>
    </row>
    <row r="99" ht="60.0" customHeight="1">
      <c r="A99" s="2" t="s">
        <v>493</v>
      </c>
      <c r="B99" s="2" t="s">
        <v>29</v>
      </c>
      <c r="C99" s="4" t="s">
        <v>483</v>
      </c>
      <c r="D99" s="4" t="s">
        <v>494</v>
      </c>
      <c r="E99" s="4" t="s">
        <v>485</v>
      </c>
      <c r="F99" s="4" t="s">
        <v>76</v>
      </c>
      <c r="G99" s="2" t="b">
        <v>0</v>
      </c>
      <c r="H99" s="2" t="str">
        <f t="shared" si="1"/>
        <v>Dependency open</v>
      </c>
      <c r="I99" s="2"/>
      <c r="J99" s="2"/>
      <c r="K99" s="2"/>
      <c r="L99" s="2" t="s">
        <v>489</v>
      </c>
      <c r="M99" s="2"/>
      <c r="N99" s="2"/>
      <c r="O99" s="2" t="str">
        <f>IF(AND(OR(L99="",IFNA(VLOOKUP(L99,$A$6:$H$98,8,FALSE),"Missing")="Verified"),OR(M99="",IFNA(VLOOKUP(M99,$A$6:$H$98,8,FALSE),"Missing")="Verified"),OR(N99="",IFNA(VLOOKUP(N99,$A$6:$H$98,8,FALSE),"Missing")="Verified")),"Ready","Dependency open")</f>
        <v>Dependency open</v>
      </c>
      <c r="P99" s="4" t="s">
        <v>495</v>
      </c>
      <c r="Q99" s="4" t="s">
        <v>496</v>
      </c>
      <c r="R99" s="8"/>
      <c r="S99" s="8">
        <v>6000.0</v>
      </c>
      <c r="T99" s="2" t="s">
        <v>488</v>
      </c>
      <c r="U99" s="4" t="s">
        <v>81</v>
      </c>
      <c r="V99" s="2" t="s">
        <v>26</v>
      </c>
    </row>
    <row r="100" ht="60.0" customHeight="1">
      <c r="A100" s="2" t="s">
        <v>497</v>
      </c>
      <c r="B100" s="2" t="s">
        <v>29</v>
      </c>
      <c r="C100" s="4" t="s">
        <v>483</v>
      </c>
      <c r="D100" s="4" t="s">
        <v>498</v>
      </c>
      <c r="E100" s="4" t="s">
        <v>485</v>
      </c>
      <c r="F100" s="4" t="s">
        <v>76</v>
      </c>
      <c r="G100" s="2" t="b">
        <v>0</v>
      </c>
      <c r="H100" s="2" t="str">
        <f t="shared" si="1"/>
        <v>Dependency open</v>
      </c>
      <c r="I100" s="2"/>
      <c r="J100" s="2"/>
      <c r="K100" s="2"/>
      <c r="L100" s="2" t="s">
        <v>493</v>
      </c>
      <c r="M100" s="2"/>
      <c r="N100" s="2"/>
      <c r="O100" s="2" t="str">
        <f>IF(AND(OR(L100="",IFNA(VLOOKUP(L100,$A$6:$H$99,8,FALSE),"Missing")="Verified"),OR(M100="",IFNA(VLOOKUP(M100,$A$6:$H$99,8,FALSE),"Missing")="Verified"),OR(N100="",IFNA(VLOOKUP(N100,$A$6:$H$99,8,FALSE),"Missing")="Verified")),"Ready","Dependency open")</f>
        <v>Dependency open</v>
      </c>
      <c r="P100" s="4" t="s">
        <v>499</v>
      </c>
      <c r="Q100" s="4" t="s">
        <v>500</v>
      </c>
      <c r="R100" s="8"/>
      <c r="S100" s="8">
        <v>6000.0</v>
      </c>
      <c r="T100" s="2" t="s">
        <v>488</v>
      </c>
      <c r="U100" s="4" t="s">
        <v>81</v>
      </c>
      <c r="V100" s="2" t="s">
        <v>26</v>
      </c>
    </row>
    <row r="101" ht="60.0" customHeight="1">
      <c r="A101" s="2" t="s">
        <v>501</v>
      </c>
      <c r="B101" s="2" t="s">
        <v>29</v>
      </c>
      <c r="C101" s="4" t="s">
        <v>502</v>
      </c>
      <c r="D101" s="4" t="s">
        <v>503</v>
      </c>
      <c r="E101" s="4" t="s">
        <v>504</v>
      </c>
      <c r="F101" s="4" t="s">
        <v>76</v>
      </c>
      <c r="G101" s="2" t="b">
        <v>0</v>
      </c>
      <c r="H101" s="2" t="str">
        <f t="shared" si="1"/>
        <v>Dependency open</v>
      </c>
      <c r="I101" s="2"/>
      <c r="J101" s="2"/>
      <c r="K101" s="2"/>
      <c r="L101" s="2" t="s">
        <v>478</v>
      </c>
      <c r="M101" s="2"/>
      <c r="N101" s="2"/>
      <c r="O101" s="2" t="str">
        <f>IF(AND(OR(L101="",IFNA(VLOOKUP(L101,$A$6:$H$100,8,FALSE),"Missing")="Verified"),OR(M101="",IFNA(VLOOKUP(M101,$A$6:$H$100,8,FALSE),"Missing")="Verified"),OR(N101="",IFNA(VLOOKUP(N101,$A$6:$H$100,8,FALSE),"Missing")="Verified")),"Ready","Dependency open")</f>
        <v>Dependency open</v>
      </c>
      <c r="P101" s="4" t="s">
        <v>505</v>
      </c>
      <c r="Q101" s="4" t="s">
        <v>506</v>
      </c>
      <c r="R101" s="8"/>
      <c r="S101" s="8">
        <v>6000.0</v>
      </c>
      <c r="T101" s="2" t="s">
        <v>488</v>
      </c>
      <c r="U101" s="4" t="s">
        <v>81</v>
      </c>
      <c r="V101" s="2" t="s">
        <v>26</v>
      </c>
    </row>
    <row r="102" ht="60.0" customHeight="1">
      <c r="A102" s="2" t="s">
        <v>507</v>
      </c>
      <c r="B102" s="2" t="s">
        <v>29</v>
      </c>
      <c r="C102" s="4" t="s">
        <v>502</v>
      </c>
      <c r="D102" s="4" t="s">
        <v>508</v>
      </c>
      <c r="E102" s="4" t="s">
        <v>504</v>
      </c>
      <c r="F102" s="4" t="s">
        <v>76</v>
      </c>
      <c r="G102" s="2" t="b">
        <v>0</v>
      </c>
      <c r="H102" s="2" t="str">
        <f t="shared" si="1"/>
        <v>Dependency open</v>
      </c>
      <c r="I102" s="2"/>
      <c r="J102" s="2"/>
      <c r="K102" s="2"/>
      <c r="L102" s="2" t="s">
        <v>501</v>
      </c>
      <c r="M102" s="2"/>
      <c r="N102" s="2"/>
      <c r="O102" s="2" t="str">
        <f>IF(AND(OR(L102="",IFNA(VLOOKUP(L102,$A$6:$H$101,8,FALSE),"Missing")="Verified"),OR(M102="",IFNA(VLOOKUP(M102,$A$6:$H$101,8,FALSE),"Missing")="Verified"),OR(N102="",IFNA(VLOOKUP(N102,$A$6:$H$101,8,FALSE),"Missing")="Verified")),"Ready","Dependency open")</f>
        <v>Dependency open</v>
      </c>
      <c r="P102" s="4" t="s">
        <v>509</v>
      </c>
      <c r="Q102" s="4" t="s">
        <v>510</v>
      </c>
      <c r="R102" s="8"/>
      <c r="S102" s="8">
        <v>6000.0</v>
      </c>
      <c r="T102" s="2" t="s">
        <v>488</v>
      </c>
      <c r="U102" s="4" t="s">
        <v>81</v>
      </c>
      <c r="V102" s="2" t="s">
        <v>26</v>
      </c>
    </row>
    <row r="103" ht="60.0" customHeight="1">
      <c r="A103" s="2" t="s">
        <v>511</v>
      </c>
      <c r="B103" s="2" t="s">
        <v>29</v>
      </c>
      <c r="C103" s="4" t="s">
        <v>502</v>
      </c>
      <c r="D103" s="4" t="s">
        <v>512</v>
      </c>
      <c r="E103" s="4" t="s">
        <v>504</v>
      </c>
      <c r="F103" s="4" t="s">
        <v>76</v>
      </c>
      <c r="G103" s="2" t="b">
        <v>0</v>
      </c>
      <c r="H103" s="2" t="str">
        <f t="shared" si="1"/>
        <v>Dependency open</v>
      </c>
      <c r="I103" s="2"/>
      <c r="J103" s="2"/>
      <c r="K103" s="2"/>
      <c r="L103" s="2" t="s">
        <v>507</v>
      </c>
      <c r="M103" s="2"/>
      <c r="N103" s="2"/>
      <c r="O103" s="2" t="str">
        <f>IF(AND(OR(L103="",IFNA(VLOOKUP(L103,$A$6:$H$102,8,FALSE),"Missing")="Verified"),OR(M103="",IFNA(VLOOKUP(M103,$A$6:$H$102,8,FALSE),"Missing")="Verified"),OR(N103="",IFNA(VLOOKUP(N103,$A$6:$H$102,8,FALSE),"Missing")="Verified")),"Ready","Dependency open")</f>
        <v>Dependency open</v>
      </c>
      <c r="P103" s="4" t="s">
        <v>513</v>
      </c>
      <c r="Q103" s="4" t="s">
        <v>514</v>
      </c>
      <c r="R103" s="8"/>
      <c r="S103" s="8">
        <v>6000.0</v>
      </c>
      <c r="T103" s="2" t="s">
        <v>488</v>
      </c>
      <c r="U103" s="4" t="s">
        <v>81</v>
      </c>
      <c r="V103" s="2" t="s">
        <v>26</v>
      </c>
    </row>
    <row r="104" ht="60.0" customHeight="1">
      <c r="A104" s="2" t="s">
        <v>515</v>
      </c>
      <c r="B104" s="2" t="s">
        <v>29</v>
      </c>
      <c r="C104" s="4" t="s">
        <v>502</v>
      </c>
      <c r="D104" s="4" t="s">
        <v>516</v>
      </c>
      <c r="E104" s="4" t="s">
        <v>504</v>
      </c>
      <c r="F104" s="4" t="s">
        <v>76</v>
      </c>
      <c r="G104" s="2" t="b">
        <v>0</v>
      </c>
      <c r="H104" s="2" t="str">
        <f t="shared" si="1"/>
        <v>Dependency open</v>
      </c>
      <c r="I104" s="2"/>
      <c r="J104" s="2"/>
      <c r="K104" s="2"/>
      <c r="L104" s="2" t="s">
        <v>511</v>
      </c>
      <c r="M104" s="2"/>
      <c r="N104" s="2"/>
      <c r="O104" s="2" t="str">
        <f>IF(AND(OR(L104="",IFNA(VLOOKUP(L104,$A$6:$H$103,8,FALSE),"Missing")="Verified"),OR(M104="",IFNA(VLOOKUP(M104,$A$6:$H$103,8,FALSE),"Missing")="Verified"),OR(N104="",IFNA(VLOOKUP(N104,$A$6:$H$103,8,FALSE),"Missing")="Verified")),"Ready","Dependency open")</f>
        <v>Dependency open</v>
      </c>
      <c r="P104" s="4" t="s">
        <v>517</v>
      </c>
      <c r="Q104" s="4" t="s">
        <v>518</v>
      </c>
      <c r="R104" s="8"/>
      <c r="S104" s="8">
        <v>6000.0</v>
      </c>
      <c r="T104" s="2" t="s">
        <v>488</v>
      </c>
      <c r="U104" s="4" t="s">
        <v>81</v>
      </c>
      <c r="V104" s="2" t="s">
        <v>26</v>
      </c>
    </row>
    <row r="105" ht="60.0" customHeight="1">
      <c r="A105" s="2" t="s">
        <v>519</v>
      </c>
      <c r="B105" s="2" t="s">
        <v>29</v>
      </c>
      <c r="C105" s="4" t="s">
        <v>520</v>
      </c>
      <c r="D105" s="4" t="s">
        <v>521</v>
      </c>
      <c r="E105" s="4" t="s">
        <v>216</v>
      </c>
      <c r="F105" s="4" t="s">
        <v>76</v>
      </c>
      <c r="G105" s="2" t="b">
        <v>0</v>
      </c>
      <c r="H105" s="2" t="str">
        <f t="shared" si="1"/>
        <v>Dependency open</v>
      </c>
      <c r="I105" s="2"/>
      <c r="J105" s="2"/>
      <c r="K105" s="2"/>
      <c r="L105" s="2" t="s">
        <v>478</v>
      </c>
      <c r="M105" s="2"/>
      <c r="N105" s="2"/>
      <c r="O105" s="2" t="str">
        <f>IF(AND(OR(L105="",IFNA(VLOOKUP(L105,$A$6:$H$104,8,FALSE),"Missing")="Verified"),OR(M105="",IFNA(VLOOKUP(M105,$A$6:$H$104,8,FALSE),"Missing")="Verified"),OR(N105="",IFNA(VLOOKUP(N105,$A$6:$H$104,8,FALSE),"Missing")="Verified")),"Ready","Dependency open")</f>
        <v>Dependency open</v>
      </c>
      <c r="P105" s="4" t="s">
        <v>522</v>
      </c>
      <c r="Q105" s="4" t="s">
        <v>523</v>
      </c>
      <c r="R105" s="8"/>
      <c r="S105" s="8">
        <v>6000.0</v>
      </c>
      <c r="T105" s="2" t="s">
        <v>488</v>
      </c>
      <c r="U105" s="4" t="s">
        <v>81</v>
      </c>
      <c r="V105" s="2" t="s">
        <v>26</v>
      </c>
    </row>
    <row r="106" ht="60.0" customHeight="1">
      <c r="A106" s="2" t="s">
        <v>524</v>
      </c>
      <c r="B106" s="2" t="s">
        <v>29</v>
      </c>
      <c r="C106" s="4" t="s">
        <v>520</v>
      </c>
      <c r="D106" s="4" t="s">
        <v>525</v>
      </c>
      <c r="E106" s="4" t="s">
        <v>216</v>
      </c>
      <c r="F106" s="4" t="s">
        <v>76</v>
      </c>
      <c r="G106" s="2" t="b">
        <v>0</v>
      </c>
      <c r="H106" s="2" t="str">
        <f t="shared" si="1"/>
        <v>Dependency open</v>
      </c>
      <c r="I106" s="2"/>
      <c r="J106" s="2"/>
      <c r="K106" s="2"/>
      <c r="L106" s="2" t="s">
        <v>519</v>
      </c>
      <c r="M106" s="2"/>
      <c r="N106" s="2"/>
      <c r="O106" s="2" t="str">
        <f>IF(AND(OR(L106="",IFNA(VLOOKUP(L106,$A$6:$H$105,8,FALSE),"Missing")="Verified"),OR(M106="",IFNA(VLOOKUP(M106,$A$6:$H$105,8,FALSE),"Missing")="Verified"),OR(N106="",IFNA(VLOOKUP(N106,$A$6:$H$105,8,FALSE),"Missing")="Verified")),"Ready","Dependency open")</f>
        <v>Dependency open</v>
      </c>
      <c r="P106" s="4" t="s">
        <v>526</v>
      </c>
      <c r="Q106" s="4" t="s">
        <v>527</v>
      </c>
      <c r="R106" s="8"/>
      <c r="S106" s="8">
        <v>6000.0</v>
      </c>
      <c r="T106" s="2" t="s">
        <v>488</v>
      </c>
      <c r="U106" s="4" t="s">
        <v>81</v>
      </c>
      <c r="V106" s="2" t="s">
        <v>26</v>
      </c>
    </row>
    <row r="107" ht="60.0" customHeight="1">
      <c r="A107" s="2" t="s">
        <v>528</v>
      </c>
      <c r="B107" s="2" t="s">
        <v>29</v>
      </c>
      <c r="C107" s="4" t="s">
        <v>520</v>
      </c>
      <c r="D107" s="4" t="s">
        <v>529</v>
      </c>
      <c r="E107" s="4" t="s">
        <v>216</v>
      </c>
      <c r="F107" s="4" t="s">
        <v>76</v>
      </c>
      <c r="G107" s="2" t="b">
        <v>0</v>
      </c>
      <c r="H107" s="2" t="str">
        <f t="shared" si="1"/>
        <v>Dependency open</v>
      </c>
      <c r="I107" s="2"/>
      <c r="J107" s="2"/>
      <c r="K107" s="2"/>
      <c r="L107" s="2" t="s">
        <v>524</v>
      </c>
      <c r="M107" s="2"/>
      <c r="N107" s="2"/>
      <c r="O107" s="2" t="str">
        <f>IF(AND(OR(L107="",IFNA(VLOOKUP(L107,$A$6:$H$106,8,FALSE),"Missing")="Verified"),OR(M107="",IFNA(VLOOKUP(M107,$A$6:$H$106,8,FALSE),"Missing")="Verified"),OR(N107="",IFNA(VLOOKUP(N107,$A$6:$H$106,8,FALSE),"Missing")="Verified")),"Ready","Dependency open")</f>
        <v>Dependency open</v>
      </c>
      <c r="P107" s="4" t="s">
        <v>530</v>
      </c>
      <c r="Q107" s="4" t="s">
        <v>531</v>
      </c>
      <c r="R107" s="8"/>
      <c r="S107" s="8">
        <v>6000.0</v>
      </c>
      <c r="T107" s="2" t="s">
        <v>488</v>
      </c>
      <c r="U107" s="4" t="s">
        <v>81</v>
      </c>
      <c r="V107" s="2" t="s">
        <v>26</v>
      </c>
    </row>
    <row r="108" ht="60.0" customHeight="1">
      <c r="A108" s="2" t="s">
        <v>532</v>
      </c>
      <c r="B108" s="2" t="s">
        <v>29</v>
      </c>
      <c r="C108" s="4" t="s">
        <v>520</v>
      </c>
      <c r="D108" s="4" t="s">
        <v>533</v>
      </c>
      <c r="E108" s="4" t="s">
        <v>216</v>
      </c>
      <c r="F108" s="4" t="s">
        <v>76</v>
      </c>
      <c r="G108" s="2" t="b">
        <v>0</v>
      </c>
      <c r="H108" s="2" t="str">
        <f t="shared" si="1"/>
        <v>Dependency open</v>
      </c>
      <c r="I108" s="2"/>
      <c r="J108" s="2"/>
      <c r="K108" s="2"/>
      <c r="L108" s="2" t="s">
        <v>528</v>
      </c>
      <c r="M108" s="2"/>
      <c r="N108" s="2"/>
      <c r="O108" s="2" t="str">
        <f>IF(AND(OR(L108="",IFNA(VLOOKUP(L108,$A$6:$H$107,8,FALSE),"Missing")="Verified"),OR(M108="",IFNA(VLOOKUP(M108,$A$6:$H$107,8,FALSE),"Missing")="Verified"),OR(N108="",IFNA(VLOOKUP(N108,$A$6:$H$107,8,FALSE),"Missing")="Verified")),"Ready","Dependency open")</f>
        <v>Dependency open</v>
      </c>
      <c r="P108" s="4" t="s">
        <v>534</v>
      </c>
      <c r="Q108" s="4" t="s">
        <v>535</v>
      </c>
      <c r="R108" s="8"/>
      <c r="S108" s="8">
        <v>6000.0</v>
      </c>
      <c r="T108" s="2" t="s">
        <v>488</v>
      </c>
      <c r="U108" s="4" t="s">
        <v>81</v>
      </c>
      <c r="V108" s="2" t="s">
        <v>26</v>
      </c>
    </row>
    <row r="109" ht="60.0" customHeight="1">
      <c r="A109" s="2" t="s">
        <v>536</v>
      </c>
      <c r="B109" s="2" t="s">
        <v>29</v>
      </c>
      <c r="C109" s="4" t="s">
        <v>537</v>
      </c>
      <c r="D109" s="4" t="s">
        <v>538</v>
      </c>
      <c r="E109" s="4" t="s">
        <v>132</v>
      </c>
      <c r="F109" s="4" t="s">
        <v>76</v>
      </c>
      <c r="G109" s="2" t="b">
        <v>0</v>
      </c>
      <c r="H109" s="2" t="str">
        <f t="shared" si="1"/>
        <v>Dependency open</v>
      </c>
      <c r="I109" s="2"/>
      <c r="J109" s="2"/>
      <c r="K109" s="2"/>
      <c r="L109" s="2" t="s">
        <v>497</v>
      </c>
      <c r="M109" s="2" t="s">
        <v>515</v>
      </c>
      <c r="N109" s="2" t="s">
        <v>532</v>
      </c>
      <c r="O109" s="2" t="str">
        <f>IF(AND(OR(L109="",IFNA(VLOOKUP(L109,$A$6:$H$108,8,FALSE),"Missing")="Verified"),OR(M109="",IFNA(VLOOKUP(M109,$A$6:$H$108,8,FALSE),"Missing")="Verified"),OR(N109="",IFNA(VLOOKUP(N109,$A$6:$H$108,8,FALSE),"Missing")="Verified")),"Ready","Dependency open")</f>
        <v>Dependency open</v>
      </c>
      <c r="P109" s="4" t="s">
        <v>133</v>
      </c>
      <c r="Q109" s="4" t="s">
        <v>134</v>
      </c>
      <c r="R109" s="8"/>
      <c r="S109" s="8">
        <v>4000.0</v>
      </c>
      <c r="T109" s="2" t="s">
        <v>539</v>
      </c>
      <c r="U109" s="4" t="s">
        <v>136</v>
      </c>
      <c r="V109" s="2" t="s">
        <v>26</v>
      </c>
    </row>
    <row r="110" ht="60.0" customHeight="1">
      <c r="A110" s="2" t="s">
        <v>540</v>
      </c>
      <c r="B110" s="2" t="s">
        <v>31</v>
      </c>
      <c r="C110" s="4" t="s">
        <v>541</v>
      </c>
      <c r="D110" s="4" t="s">
        <v>542</v>
      </c>
      <c r="E110" s="4" t="s">
        <v>543</v>
      </c>
      <c r="F110" s="4" t="s">
        <v>76</v>
      </c>
      <c r="G110" s="2" t="b">
        <v>0</v>
      </c>
      <c r="H110" s="2" t="str">
        <f t="shared" si="1"/>
        <v>Dependency open</v>
      </c>
      <c r="I110" s="2"/>
      <c r="J110" s="2"/>
      <c r="K110" s="2"/>
      <c r="L110" s="2" t="s">
        <v>362</v>
      </c>
      <c r="M110" s="2"/>
      <c r="N110" s="2"/>
      <c r="O110" s="2" t="str">
        <f>IF(AND(OR(L110="",IFNA(VLOOKUP(L110,$A$6:$H$109,8,FALSE),"Missing")="Verified"),OR(M110="",IFNA(VLOOKUP(M110,$A$6:$H$109,8,FALSE),"Missing")="Verified"),OR(N110="",IFNA(VLOOKUP(N110,$A$6:$H$109,8,FALSE),"Missing")="Verified")),"Ready","Dependency open")</f>
        <v>Dependency open</v>
      </c>
      <c r="P110" s="4" t="s">
        <v>544</v>
      </c>
      <c r="Q110" s="4" t="s">
        <v>545</v>
      </c>
      <c r="R110" s="8"/>
      <c r="S110" s="8">
        <v>6000.0</v>
      </c>
      <c r="T110" s="2" t="s">
        <v>546</v>
      </c>
      <c r="U110" s="4" t="s">
        <v>81</v>
      </c>
      <c r="V110" s="2" t="s">
        <v>33</v>
      </c>
    </row>
    <row r="111" ht="60.0" customHeight="1">
      <c r="A111" s="2" t="s">
        <v>547</v>
      </c>
      <c r="B111" s="2" t="s">
        <v>31</v>
      </c>
      <c r="C111" s="4" t="s">
        <v>541</v>
      </c>
      <c r="D111" s="4" t="s">
        <v>548</v>
      </c>
      <c r="E111" s="4" t="s">
        <v>543</v>
      </c>
      <c r="F111" s="4" t="s">
        <v>76</v>
      </c>
      <c r="G111" s="2" t="b">
        <v>0</v>
      </c>
      <c r="H111" s="2" t="str">
        <f t="shared" si="1"/>
        <v>Dependency open</v>
      </c>
      <c r="I111" s="2"/>
      <c r="J111" s="2"/>
      <c r="K111" s="2"/>
      <c r="L111" s="2" t="s">
        <v>540</v>
      </c>
      <c r="M111" s="2"/>
      <c r="N111" s="2"/>
      <c r="O111" s="2" t="str">
        <f>IF(AND(OR(L111="",IFNA(VLOOKUP(L111,$A$6:$H$110,8,FALSE),"Missing")="Verified"),OR(M111="",IFNA(VLOOKUP(M111,$A$6:$H$110,8,FALSE),"Missing")="Verified"),OR(N111="",IFNA(VLOOKUP(N111,$A$6:$H$110,8,FALSE),"Missing")="Verified")),"Ready","Dependency open")</f>
        <v>Dependency open</v>
      </c>
      <c r="P111" s="4" t="s">
        <v>549</v>
      </c>
      <c r="Q111" s="4" t="s">
        <v>550</v>
      </c>
      <c r="R111" s="8"/>
      <c r="S111" s="8">
        <v>6000.0</v>
      </c>
      <c r="T111" s="2" t="s">
        <v>546</v>
      </c>
      <c r="U111" s="4" t="s">
        <v>81</v>
      </c>
      <c r="V111" s="2" t="s">
        <v>33</v>
      </c>
    </row>
    <row r="112" ht="60.0" customHeight="1">
      <c r="A112" s="2" t="s">
        <v>551</v>
      </c>
      <c r="B112" s="2" t="s">
        <v>31</v>
      </c>
      <c r="C112" s="4" t="s">
        <v>541</v>
      </c>
      <c r="D112" s="4" t="s">
        <v>552</v>
      </c>
      <c r="E112" s="4" t="s">
        <v>543</v>
      </c>
      <c r="F112" s="4" t="s">
        <v>76</v>
      </c>
      <c r="G112" s="2" t="b">
        <v>0</v>
      </c>
      <c r="H112" s="2" t="str">
        <f t="shared" si="1"/>
        <v>Dependency open</v>
      </c>
      <c r="I112" s="2"/>
      <c r="J112" s="2"/>
      <c r="K112" s="2"/>
      <c r="L112" s="2" t="s">
        <v>547</v>
      </c>
      <c r="M112" s="2"/>
      <c r="N112" s="2"/>
      <c r="O112" s="2" t="str">
        <f>IF(AND(OR(L112="",IFNA(VLOOKUP(L112,$A$6:$H$111,8,FALSE),"Missing")="Verified"),OR(M112="",IFNA(VLOOKUP(M112,$A$6:$H$111,8,FALSE),"Missing")="Verified"),OR(N112="",IFNA(VLOOKUP(N112,$A$6:$H$111,8,FALSE),"Missing")="Verified")),"Ready","Dependency open")</f>
        <v>Dependency open</v>
      </c>
      <c r="P112" s="4" t="s">
        <v>553</v>
      </c>
      <c r="Q112" s="4" t="s">
        <v>554</v>
      </c>
      <c r="R112" s="8"/>
      <c r="S112" s="8">
        <v>6000.0</v>
      </c>
      <c r="T112" s="2" t="s">
        <v>546</v>
      </c>
      <c r="U112" s="4" t="s">
        <v>81</v>
      </c>
      <c r="V112" s="2" t="s">
        <v>33</v>
      </c>
    </row>
    <row r="113" ht="60.0" customHeight="1">
      <c r="A113" s="2" t="s">
        <v>555</v>
      </c>
      <c r="B113" s="2" t="s">
        <v>31</v>
      </c>
      <c r="C113" s="4" t="s">
        <v>541</v>
      </c>
      <c r="D113" s="4" t="s">
        <v>556</v>
      </c>
      <c r="E113" s="4" t="s">
        <v>543</v>
      </c>
      <c r="F113" s="4" t="s">
        <v>76</v>
      </c>
      <c r="G113" s="2" t="b">
        <v>0</v>
      </c>
      <c r="H113" s="2" t="str">
        <f t="shared" si="1"/>
        <v>Dependency open</v>
      </c>
      <c r="I113" s="2"/>
      <c r="J113" s="2"/>
      <c r="K113" s="2"/>
      <c r="L113" s="2" t="s">
        <v>551</v>
      </c>
      <c r="M113" s="2"/>
      <c r="N113" s="2"/>
      <c r="O113" s="2" t="str">
        <f>IF(AND(OR(L113="",IFNA(VLOOKUP(L113,$A$6:$H$112,8,FALSE),"Missing")="Verified"),OR(M113="",IFNA(VLOOKUP(M113,$A$6:$H$112,8,FALSE),"Missing")="Verified"),OR(N113="",IFNA(VLOOKUP(N113,$A$6:$H$112,8,FALSE),"Missing")="Verified")),"Ready","Dependency open")</f>
        <v>Dependency open</v>
      </c>
      <c r="P113" s="4" t="s">
        <v>557</v>
      </c>
      <c r="Q113" s="4" t="s">
        <v>558</v>
      </c>
      <c r="R113" s="8"/>
      <c r="S113" s="8">
        <v>6000.0</v>
      </c>
      <c r="T113" s="2" t="s">
        <v>546</v>
      </c>
      <c r="U113" s="4" t="s">
        <v>81</v>
      </c>
      <c r="V113" s="2" t="s">
        <v>33</v>
      </c>
    </row>
    <row r="114" ht="60.0" customHeight="1">
      <c r="A114" s="2" t="s">
        <v>559</v>
      </c>
      <c r="B114" s="2" t="s">
        <v>31</v>
      </c>
      <c r="C114" s="4" t="s">
        <v>560</v>
      </c>
      <c r="D114" s="4" t="s">
        <v>561</v>
      </c>
      <c r="E114" s="4" t="s">
        <v>75</v>
      </c>
      <c r="F114" s="4" t="s">
        <v>76</v>
      </c>
      <c r="G114" s="2" t="b">
        <v>0</v>
      </c>
      <c r="H114" s="2" t="str">
        <f t="shared" si="1"/>
        <v>Dependency open</v>
      </c>
      <c r="I114" s="2"/>
      <c r="J114" s="2"/>
      <c r="K114" s="2"/>
      <c r="L114" s="2" t="s">
        <v>362</v>
      </c>
      <c r="M114" s="2"/>
      <c r="N114" s="2"/>
      <c r="O114" s="2" t="str">
        <f>IF(AND(OR(L114="",IFNA(VLOOKUP(L114,$A$6:$H$113,8,FALSE),"Missing")="Verified"),OR(M114="",IFNA(VLOOKUP(M114,$A$6:$H$113,8,FALSE),"Missing")="Verified"),OR(N114="",IFNA(VLOOKUP(N114,$A$6:$H$113,8,FALSE),"Missing")="Verified")),"Ready","Dependency open")</f>
        <v>Dependency open</v>
      </c>
      <c r="P114" s="4" t="s">
        <v>562</v>
      </c>
      <c r="Q114" s="4" t="s">
        <v>563</v>
      </c>
      <c r="R114" s="8"/>
      <c r="S114" s="8">
        <v>6000.0</v>
      </c>
      <c r="T114" s="2" t="s">
        <v>546</v>
      </c>
      <c r="U114" s="4" t="s">
        <v>81</v>
      </c>
      <c r="V114" s="2" t="s">
        <v>33</v>
      </c>
    </row>
    <row r="115" ht="60.0" customHeight="1">
      <c r="A115" s="2" t="s">
        <v>564</v>
      </c>
      <c r="B115" s="2" t="s">
        <v>31</v>
      </c>
      <c r="C115" s="4" t="s">
        <v>560</v>
      </c>
      <c r="D115" s="4" t="s">
        <v>565</v>
      </c>
      <c r="E115" s="4" t="s">
        <v>75</v>
      </c>
      <c r="F115" s="4" t="s">
        <v>76</v>
      </c>
      <c r="G115" s="2" t="b">
        <v>0</v>
      </c>
      <c r="H115" s="2" t="str">
        <f t="shared" si="1"/>
        <v>Dependency open</v>
      </c>
      <c r="I115" s="2"/>
      <c r="J115" s="2"/>
      <c r="K115" s="2"/>
      <c r="L115" s="2" t="s">
        <v>559</v>
      </c>
      <c r="M115" s="2"/>
      <c r="N115" s="2"/>
      <c r="O115" s="2" t="str">
        <f>IF(AND(OR(L115="",IFNA(VLOOKUP(L115,$A$6:$H$114,8,FALSE),"Missing")="Verified"),OR(M115="",IFNA(VLOOKUP(M115,$A$6:$H$114,8,FALSE),"Missing")="Verified"),OR(N115="",IFNA(VLOOKUP(N115,$A$6:$H$114,8,FALSE),"Missing")="Verified")),"Ready","Dependency open")</f>
        <v>Dependency open</v>
      </c>
      <c r="P115" s="4" t="s">
        <v>566</v>
      </c>
      <c r="Q115" s="4" t="s">
        <v>567</v>
      </c>
      <c r="R115" s="8"/>
      <c r="S115" s="8">
        <v>6000.0</v>
      </c>
      <c r="T115" s="2" t="s">
        <v>546</v>
      </c>
      <c r="U115" s="4" t="s">
        <v>81</v>
      </c>
      <c r="V115" s="2" t="s">
        <v>33</v>
      </c>
    </row>
    <row r="116" ht="60.0" customHeight="1">
      <c r="A116" s="2" t="s">
        <v>568</v>
      </c>
      <c r="B116" s="2" t="s">
        <v>31</v>
      </c>
      <c r="C116" s="4" t="s">
        <v>560</v>
      </c>
      <c r="D116" s="4" t="s">
        <v>569</v>
      </c>
      <c r="E116" s="4" t="s">
        <v>75</v>
      </c>
      <c r="F116" s="4" t="s">
        <v>76</v>
      </c>
      <c r="G116" s="2" t="b">
        <v>0</v>
      </c>
      <c r="H116" s="2" t="str">
        <f t="shared" si="1"/>
        <v>Dependency open</v>
      </c>
      <c r="I116" s="2"/>
      <c r="J116" s="2"/>
      <c r="K116" s="2"/>
      <c r="L116" s="2" t="s">
        <v>564</v>
      </c>
      <c r="M116" s="2"/>
      <c r="N116" s="2"/>
      <c r="O116" s="2" t="str">
        <f>IF(AND(OR(L116="",IFNA(VLOOKUP(L116,$A$6:$H$115,8,FALSE),"Missing")="Verified"),OR(M116="",IFNA(VLOOKUP(M116,$A$6:$H$115,8,FALSE),"Missing")="Verified"),OR(N116="",IFNA(VLOOKUP(N116,$A$6:$H$115,8,FALSE),"Missing")="Verified")),"Ready","Dependency open")</f>
        <v>Dependency open</v>
      </c>
      <c r="P116" s="4" t="s">
        <v>570</v>
      </c>
      <c r="Q116" s="4" t="s">
        <v>571</v>
      </c>
      <c r="R116" s="8"/>
      <c r="S116" s="8">
        <v>6000.0</v>
      </c>
      <c r="T116" s="2" t="s">
        <v>546</v>
      </c>
      <c r="U116" s="4" t="s">
        <v>81</v>
      </c>
      <c r="V116" s="2" t="s">
        <v>33</v>
      </c>
    </row>
    <row r="117" ht="60.0" customHeight="1">
      <c r="A117" s="2" t="s">
        <v>572</v>
      </c>
      <c r="B117" s="2" t="s">
        <v>31</v>
      </c>
      <c r="C117" s="4" t="s">
        <v>560</v>
      </c>
      <c r="D117" s="4" t="s">
        <v>573</v>
      </c>
      <c r="E117" s="4" t="s">
        <v>75</v>
      </c>
      <c r="F117" s="4" t="s">
        <v>76</v>
      </c>
      <c r="G117" s="2" t="b">
        <v>0</v>
      </c>
      <c r="H117" s="2" t="str">
        <f t="shared" si="1"/>
        <v>Dependency open</v>
      </c>
      <c r="I117" s="2"/>
      <c r="J117" s="2"/>
      <c r="K117" s="2"/>
      <c r="L117" s="2" t="s">
        <v>568</v>
      </c>
      <c r="M117" s="2"/>
      <c r="N117" s="2"/>
      <c r="O117" s="2" t="str">
        <f>IF(AND(OR(L117="",IFNA(VLOOKUP(L117,$A$6:$H$116,8,FALSE),"Missing")="Verified"),OR(M117="",IFNA(VLOOKUP(M117,$A$6:$H$116,8,FALSE),"Missing")="Verified"),OR(N117="",IFNA(VLOOKUP(N117,$A$6:$H$116,8,FALSE),"Missing")="Verified")),"Ready","Dependency open")</f>
        <v>Dependency open</v>
      </c>
      <c r="P117" s="4" t="s">
        <v>574</v>
      </c>
      <c r="Q117" s="4" t="s">
        <v>575</v>
      </c>
      <c r="R117" s="8"/>
      <c r="S117" s="8">
        <v>6000.0</v>
      </c>
      <c r="T117" s="2" t="s">
        <v>546</v>
      </c>
      <c r="U117" s="4" t="s">
        <v>81</v>
      </c>
      <c r="V117" s="2" t="s">
        <v>33</v>
      </c>
    </row>
    <row r="118" ht="60.0" customHeight="1">
      <c r="A118" s="2" t="s">
        <v>576</v>
      </c>
      <c r="B118" s="2" t="s">
        <v>31</v>
      </c>
      <c r="C118" s="4" t="s">
        <v>577</v>
      </c>
      <c r="D118" s="4" t="s">
        <v>578</v>
      </c>
      <c r="E118" s="4" t="s">
        <v>579</v>
      </c>
      <c r="F118" s="4" t="s">
        <v>76</v>
      </c>
      <c r="G118" s="2" t="b">
        <v>0</v>
      </c>
      <c r="H118" s="2" t="str">
        <f t="shared" si="1"/>
        <v>Dependency open</v>
      </c>
      <c r="I118" s="2"/>
      <c r="J118" s="2"/>
      <c r="K118" s="2"/>
      <c r="L118" s="2" t="s">
        <v>362</v>
      </c>
      <c r="M118" s="2"/>
      <c r="N118" s="2"/>
      <c r="O118" s="2" t="str">
        <f>IF(AND(OR(L118="",IFNA(VLOOKUP(L118,$A$6:$H$117,8,FALSE),"Missing")="Verified"),OR(M118="",IFNA(VLOOKUP(M118,$A$6:$H$117,8,FALSE),"Missing")="Verified"),OR(N118="",IFNA(VLOOKUP(N118,$A$6:$H$117,8,FALSE),"Missing")="Verified")),"Ready","Dependency open")</f>
        <v>Dependency open</v>
      </c>
      <c r="P118" s="4" t="s">
        <v>580</v>
      </c>
      <c r="Q118" s="4" t="s">
        <v>581</v>
      </c>
      <c r="R118" s="8"/>
      <c r="S118" s="8">
        <v>6000.0</v>
      </c>
      <c r="T118" s="2" t="s">
        <v>546</v>
      </c>
      <c r="U118" s="4" t="s">
        <v>81</v>
      </c>
      <c r="V118" s="2" t="s">
        <v>33</v>
      </c>
    </row>
    <row r="119" ht="60.0" customHeight="1">
      <c r="A119" s="2" t="s">
        <v>582</v>
      </c>
      <c r="B119" s="2" t="s">
        <v>31</v>
      </c>
      <c r="C119" s="4" t="s">
        <v>577</v>
      </c>
      <c r="D119" s="4" t="s">
        <v>583</v>
      </c>
      <c r="E119" s="4" t="s">
        <v>579</v>
      </c>
      <c r="F119" s="4" t="s">
        <v>76</v>
      </c>
      <c r="G119" s="2" t="b">
        <v>0</v>
      </c>
      <c r="H119" s="2" t="str">
        <f t="shared" si="1"/>
        <v>Dependency open</v>
      </c>
      <c r="I119" s="2"/>
      <c r="J119" s="2"/>
      <c r="K119" s="2"/>
      <c r="L119" s="2" t="s">
        <v>576</v>
      </c>
      <c r="M119" s="2"/>
      <c r="N119" s="2"/>
      <c r="O119" s="2" t="str">
        <f>IF(AND(OR(L119="",IFNA(VLOOKUP(L119,$A$6:$H$118,8,FALSE),"Missing")="Verified"),OR(M119="",IFNA(VLOOKUP(M119,$A$6:$H$118,8,FALSE),"Missing")="Verified"),OR(N119="",IFNA(VLOOKUP(N119,$A$6:$H$118,8,FALSE),"Missing")="Verified")),"Ready","Dependency open")</f>
        <v>Dependency open</v>
      </c>
      <c r="P119" s="4" t="s">
        <v>584</v>
      </c>
      <c r="Q119" s="4" t="s">
        <v>585</v>
      </c>
      <c r="R119" s="8"/>
      <c r="S119" s="8">
        <v>6000.0</v>
      </c>
      <c r="T119" s="2" t="s">
        <v>546</v>
      </c>
      <c r="U119" s="4" t="s">
        <v>81</v>
      </c>
      <c r="V119" s="2" t="s">
        <v>33</v>
      </c>
    </row>
    <row r="120" ht="60.0" customHeight="1">
      <c r="A120" s="2" t="s">
        <v>586</v>
      </c>
      <c r="B120" s="2" t="s">
        <v>31</v>
      </c>
      <c r="C120" s="4" t="s">
        <v>577</v>
      </c>
      <c r="D120" s="4" t="s">
        <v>587</v>
      </c>
      <c r="E120" s="4" t="s">
        <v>579</v>
      </c>
      <c r="F120" s="4" t="s">
        <v>76</v>
      </c>
      <c r="G120" s="2" t="b">
        <v>0</v>
      </c>
      <c r="H120" s="2" t="str">
        <f t="shared" si="1"/>
        <v>Dependency open</v>
      </c>
      <c r="I120" s="2"/>
      <c r="J120" s="2"/>
      <c r="K120" s="2"/>
      <c r="L120" s="2" t="s">
        <v>582</v>
      </c>
      <c r="M120" s="2"/>
      <c r="N120" s="2"/>
      <c r="O120" s="2" t="str">
        <f>IF(AND(OR(L120="",IFNA(VLOOKUP(L120,$A$6:$H$119,8,FALSE),"Missing")="Verified"),OR(M120="",IFNA(VLOOKUP(M120,$A$6:$H$119,8,FALSE),"Missing")="Verified"),OR(N120="",IFNA(VLOOKUP(N120,$A$6:$H$119,8,FALSE),"Missing")="Verified")),"Ready","Dependency open")</f>
        <v>Dependency open</v>
      </c>
      <c r="P120" s="4" t="s">
        <v>588</v>
      </c>
      <c r="Q120" s="4" t="s">
        <v>589</v>
      </c>
      <c r="R120" s="8"/>
      <c r="S120" s="8">
        <v>6000.0</v>
      </c>
      <c r="T120" s="2" t="s">
        <v>546</v>
      </c>
      <c r="U120" s="4" t="s">
        <v>81</v>
      </c>
      <c r="V120" s="2" t="s">
        <v>33</v>
      </c>
    </row>
    <row r="121" ht="60.0" customHeight="1">
      <c r="A121" s="2" t="s">
        <v>590</v>
      </c>
      <c r="B121" s="2" t="s">
        <v>31</v>
      </c>
      <c r="C121" s="4" t="s">
        <v>577</v>
      </c>
      <c r="D121" s="4" t="s">
        <v>591</v>
      </c>
      <c r="E121" s="4" t="s">
        <v>579</v>
      </c>
      <c r="F121" s="4" t="s">
        <v>76</v>
      </c>
      <c r="G121" s="2" t="b">
        <v>0</v>
      </c>
      <c r="H121" s="2" t="str">
        <f t="shared" si="1"/>
        <v>Dependency open</v>
      </c>
      <c r="I121" s="2"/>
      <c r="J121" s="2"/>
      <c r="K121" s="2"/>
      <c r="L121" s="2" t="s">
        <v>586</v>
      </c>
      <c r="M121" s="2"/>
      <c r="N121" s="2"/>
      <c r="O121" s="2" t="str">
        <f>IF(AND(OR(L121="",IFNA(VLOOKUP(L121,$A$6:$H$120,8,FALSE),"Missing")="Verified"),OR(M121="",IFNA(VLOOKUP(M121,$A$6:$H$120,8,FALSE),"Missing")="Verified"),OR(N121="",IFNA(VLOOKUP(N121,$A$6:$H$120,8,FALSE),"Missing")="Verified")),"Ready","Dependency open")</f>
        <v>Dependency open</v>
      </c>
      <c r="P121" s="4" t="s">
        <v>592</v>
      </c>
      <c r="Q121" s="4" t="s">
        <v>593</v>
      </c>
      <c r="R121" s="8"/>
      <c r="S121" s="8">
        <v>6000.0</v>
      </c>
      <c r="T121" s="2" t="s">
        <v>546</v>
      </c>
      <c r="U121" s="4" t="s">
        <v>81</v>
      </c>
      <c r="V121" s="2" t="s">
        <v>33</v>
      </c>
    </row>
    <row r="122" ht="60.0" customHeight="1">
      <c r="A122" s="2" t="s">
        <v>594</v>
      </c>
      <c r="B122" s="2" t="s">
        <v>31</v>
      </c>
      <c r="C122" s="4" t="s">
        <v>595</v>
      </c>
      <c r="D122" s="4" t="s">
        <v>596</v>
      </c>
      <c r="E122" s="4" t="s">
        <v>132</v>
      </c>
      <c r="F122" s="4" t="s">
        <v>76</v>
      </c>
      <c r="G122" s="2" t="b">
        <v>0</v>
      </c>
      <c r="H122" s="2" t="str">
        <f t="shared" si="1"/>
        <v>Dependency open</v>
      </c>
      <c r="I122" s="2"/>
      <c r="J122" s="2"/>
      <c r="K122" s="2"/>
      <c r="L122" s="2" t="s">
        <v>555</v>
      </c>
      <c r="M122" s="2" t="s">
        <v>572</v>
      </c>
      <c r="N122" s="2" t="s">
        <v>590</v>
      </c>
      <c r="O122" s="2" t="str">
        <f>IF(AND(OR(L122="",IFNA(VLOOKUP(L122,$A$6:$H$121,8,FALSE),"Missing")="Verified"),OR(M122="",IFNA(VLOOKUP(M122,$A$6:$H$121,8,FALSE),"Missing")="Verified"),OR(N122="",IFNA(VLOOKUP(N122,$A$6:$H$121,8,FALSE),"Missing")="Verified")),"Ready","Dependency open")</f>
        <v>Dependency open</v>
      </c>
      <c r="P122" s="4" t="s">
        <v>133</v>
      </c>
      <c r="Q122" s="4" t="s">
        <v>134</v>
      </c>
      <c r="R122" s="8"/>
      <c r="S122" s="8">
        <v>4000.0</v>
      </c>
      <c r="T122" s="2" t="s">
        <v>597</v>
      </c>
      <c r="U122" s="4" t="s">
        <v>136</v>
      </c>
      <c r="V122" s="2" t="s">
        <v>33</v>
      </c>
    </row>
    <row r="123" ht="60.0" customHeight="1">
      <c r="A123" s="2" t="s">
        <v>598</v>
      </c>
      <c r="B123" s="2" t="s">
        <v>34</v>
      </c>
      <c r="C123" s="4" t="s">
        <v>599</v>
      </c>
      <c r="D123" s="4" t="s">
        <v>600</v>
      </c>
      <c r="E123" s="4" t="s">
        <v>601</v>
      </c>
      <c r="F123" s="4" t="s">
        <v>76</v>
      </c>
      <c r="G123" s="2" t="b">
        <v>0</v>
      </c>
      <c r="H123" s="2" t="str">
        <f t="shared" si="1"/>
        <v>Dependency open</v>
      </c>
      <c r="I123" s="2"/>
      <c r="J123" s="2"/>
      <c r="K123" s="2"/>
      <c r="L123" s="2" t="s">
        <v>594</v>
      </c>
      <c r="M123" s="2"/>
      <c r="N123" s="2"/>
      <c r="O123" s="2" t="str">
        <f>IF(AND(OR(L123="",IFNA(VLOOKUP(L123,$A$6:$H$122,8,FALSE),"Missing")="Verified"),OR(M123="",IFNA(VLOOKUP(M123,$A$6:$H$122,8,FALSE),"Missing")="Verified"),OR(N123="",IFNA(VLOOKUP(N123,$A$6:$H$122,8,FALSE),"Missing")="Verified")),"Ready","Dependency open")</f>
        <v>Dependency open</v>
      </c>
      <c r="P123" s="4" t="s">
        <v>602</v>
      </c>
      <c r="Q123" s="4" t="s">
        <v>603</v>
      </c>
      <c r="R123" s="8"/>
      <c r="S123" s="8">
        <v>6000.0</v>
      </c>
      <c r="T123" s="2" t="s">
        <v>604</v>
      </c>
      <c r="U123" s="4" t="s">
        <v>81</v>
      </c>
      <c r="V123" s="2" t="s">
        <v>26</v>
      </c>
    </row>
    <row r="124" ht="60.0" customHeight="1">
      <c r="A124" s="2" t="s">
        <v>605</v>
      </c>
      <c r="B124" s="2" t="s">
        <v>34</v>
      </c>
      <c r="C124" s="4" t="s">
        <v>599</v>
      </c>
      <c r="D124" s="4" t="s">
        <v>606</v>
      </c>
      <c r="E124" s="4" t="s">
        <v>601</v>
      </c>
      <c r="F124" s="4" t="s">
        <v>76</v>
      </c>
      <c r="G124" s="2" t="b">
        <v>0</v>
      </c>
      <c r="H124" s="2" t="str">
        <f t="shared" si="1"/>
        <v>Dependency open</v>
      </c>
      <c r="I124" s="2"/>
      <c r="J124" s="2"/>
      <c r="K124" s="2"/>
      <c r="L124" s="2" t="s">
        <v>598</v>
      </c>
      <c r="M124" s="2"/>
      <c r="N124" s="2"/>
      <c r="O124" s="2" t="str">
        <f>IF(AND(OR(L124="",IFNA(VLOOKUP(L124,$A$6:$H$123,8,FALSE),"Missing")="Verified"),OR(M124="",IFNA(VLOOKUP(M124,$A$6:$H$123,8,FALSE),"Missing")="Verified"),OR(N124="",IFNA(VLOOKUP(N124,$A$6:$H$123,8,FALSE),"Missing")="Verified")),"Ready","Dependency open")</f>
        <v>Dependency open</v>
      </c>
      <c r="P124" s="4" t="s">
        <v>607</v>
      </c>
      <c r="Q124" s="4" t="s">
        <v>608</v>
      </c>
      <c r="R124" s="8"/>
      <c r="S124" s="8">
        <v>6000.0</v>
      </c>
      <c r="T124" s="2" t="s">
        <v>604</v>
      </c>
      <c r="U124" s="4" t="s">
        <v>81</v>
      </c>
      <c r="V124" s="2" t="s">
        <v>26</v>
      </c>
    </row>
    <row r="125" ht="60.0" customHeight="1">
      <c r="A125" s="2" t="s">
        <v>609</v>
      </c>
      <c r="B125" s="2" t="s">
        <v>34</v>
      </c>
      <c r="C125" s="4" t="s">
        <v>599</v>
      </c>
      <c r="D125" s="4" t="s">
        <v>610</v>
      </c>
      <c r="E125" s="4" t="s">
        <v>601</v>
      </c>
      <c r="F125" s="4" t="s">
        <v>76</v>
      </c>
      <c r="G125" s="2" t="b">
        <v>0</v>
      </c>
      <c r="H125" s="2" t="str">
        <f t="shared" si="1"/>
        <v>Dependency open</v>
      </c>
      <c r="I125" s="2"/>
      <c r="J125" s="2"/>
      <c r="K125" s="2"/>
      <c r="L125" s="2" t="s">
        <v>605</v>
      </c>
      <c r="M125" s="2"/>
      <c r="N125" s="2"/>
      <c r="O125" s="2" t="str">
        <f>IF(AND(OR(L125="",IFNA(VLOOKUP(L125,$A$6:$H$124,8,FALSE),"Missing")="Verified"),OR(M125="",IFNA(VLOOKUP(M125,$A$6:$H$124,8,FALSE),"Missing")="Verified"),OR(N125="",IFNA(VLOOKUP(N125,$A$6:$H$124,8,FALSE),"Missing")="Verified")),"Ready","Dependency open")</f>
        <v>Dependency open</v>
      </c>
      <c r="P125" s="4" t="s">
        <v>611</v>
      </c>
      <c r="Q125" s="4" t="s">
        <v>612</v>
      </c>
      <c r="R125" s="8"/>
      <c r="S125" s="8">
        <v>6000.0</v>
      </c>
      <c r="T125" s="2" t="s">
        <v>604</v>
      </c>
      <c r="U125" s="4" t="s">
        <v>81</v>
      </c>
      <c r="V125" s="2" t="s">
        <v>26</v>
      </c>
    </row>
    <row r="126" ht="60.0" customHeight="1">
      <c r="A126" s="2" t="s">
        <v>613</v>
      </c>
      <c r="B126" s="2" t="s">
        <v>34</v>
      </c>
      <c r="C126" s="4" t="s">
        <v>599</v>
      </c>
      <c r="D126" s="4" t="s">
        <v>614</v>
      </c>
      <c r="E126" s="4" t="s">
        <v>601</v>
      </c>
      <c r="F126" s="4" t="s">
        <v>76</v>
      </c>
      <c r="G126" s="2" t="b">
        <v>0</v>
      </c>
      <c r="H126" s="2" t="str">
        <f t="shared" si="1"/>
        <v>Dependency open</v>
      </c>
      <c r="I126" s="2"/>
      <c r="J126" s="2"/>
      <c r="K126" s="2"/>
      <c r="L126" s="2" t="s">
        <v>609</v>
      </c>
      <c r="M126" s="2"/>
      <c r="N126" s="2"/>
      <c r="O126" s="2" t="str">
        <f>IF(AND(OR(L126="",IFNA(VLOOKUP(L126,$A$6:$H$125,8,FALSE),"Missing")="Verified"),OR(M126="",IFNA(VLOOKUP(M126,$A$6:$H$125,8,FALSE),"Missing")="Verified"),OR(N126="",IFNA(VLOOKUP(N126,$A$6:$H$125,8,FALSE),"Missing")="Verified")),"Ready","Dependency open")</f>
        <v>Dependency open</v>
      </c>
      <c r="P126" s="4" t="s">
        <v>615</v>
      </c>
      <c r="Q126" s="4" t="s">
        <v>616</v>
      </c>
      <c r="R126" s="8"/>
      <c r="S126" s="8">
        <v>6000.0</v>
      </c>
      <c r="T126" s="2" t="s">
        <v>604</v>
      </c>
      <c r="U126" s="4" t="s">
        <v>81</v>
      </c>
      <c r="V126" s="2" t="s">
        <v>26</v>
      </c>
    </row>
    <row r="127" ht="60.0" customHeight="1">
      <c r="A127" s="2" t="s">
        <v>617</v>
      </c>
      <c r="B127" s="2" t="s">
        <v>34</v>
      </c>
      <c r="C127" s="4" t="s">
        <v>618</v>
      </c>
      <c r="D127" s="4" t="s">
        <v>619</v>
      </c>
      <c r="E127" s="4" t="s">
        <v>620</v>
      </c>
      <c r="F127" s="4" t="s">
        <v>76</v>
      </c>
      <c r="G127" s="2" t="b">
        <v>0</v>
      </c>
      <c r="H127" s="2" t="str">
        <f t="shared" si="1"/>
        <v>Dependency open</v>
      </c>
      <c r="I127" s="2"/>
      <c r="J127" s="2"/>
      <c r="K127" s="2"/>
      <c r="L127" s="2" t="s">
        <v>594</v>
      </c>
      <c r="M127" s="2"/>
      <c r="N127" s="2"/>
      <c r="O127" s="2" t="str">
        <f>IF(AND(OR(L127="",IFNA(VLOOKUP(L127,$A$6:$H$126,8,FALSE),"Missing")="Verified"),OR(M127="",IFNA(VLOOKUP(M127,$A$6:$H$126,8,FALSE),"Missing")="Verified"),OR(N127="",IFNA(VLOOKUP(N127,$A$6:$H$126,8,FALSE),"Missing")="Verified")),"Ready","Dependency open")</f>
        <v>Dependency open</v>
      </c>
      <c r="P127" s="4" t="s">
        <v>621</v>
      </c>
      <c r="Q127" s="4" t="s">
        <v>622</v>
      </c>
      <c r="R127" s="8"/>
      <c r="S127" s="8">
        <v>6000.0</v>
      </c>
      <c r="T127" s="2" t="s">
        <v>604</v>
      </c>
      <c r="U127" s="4" t="s">
        <v>81</v>
      </c>
      <c r="V127" s="2" t="s">
        <v>26</v>
      </c>
    </row>
    <row r="128" ht="60.0" customHeight="1">
      <c r="A128" s="2" t="s">
        <v>623</v>
      </c>
      <c r="B128" s="2" t="s">
        <v>34</v>
      </c>
      <c r="C128" s="4" t="s">
        <v>618</v>
      </c>
      <c r="D128" s="4" t="s">
        <v>624</v>
      </c>
      <c r="E128" s="4" t="s">
        <v>620</v>
      </c>
      <c r="F128" s="4" t="s">
        <v>76</v>
      </c>
      <c r="G128" s="2" t="b">
        <v>0</v>
      </c>
      <c r="H128" s="2" t="str">
        <f t="shared" si="1"/>
        <v>Dependency open</v>
      </c>
      <c r="I128" s="2"/>
      <c r="J128" s="2"/>
      <c r="K128" s="2"/>
      <c r="L128" s="2" t="s">
        <v>617</v>
      </c>
      <c r="M128" s="2"/>
      <c r="N128" s="2"/>
      <c r="O128" s="2" t="str">
        <f>IF(AND(OR(L128="",IFNA(VLOOKUP(L128,$A$6:$H$127,8,FALSE),"Missing")="Verified"),OR(M128="",IFNA(VLOOKUP(M128,$A$6:$H$127,8,FALSE),"Missing")="Verified"),OR(N128="",IFNA(VLOOKUP(N128,$A$6:$H$127,8,FALSE),"Missing")="Verified")),"Ready","Dependency open")</f>
        <v>Dependency open</v>
      </c>
      <c r="P128" s="4" t="s">
        <v>625</v>
      </c>
      <c r="Q128" s="4" t="s">
        <v>626</v>
      </c>
      <c r="R128" s="8"/>
      <c r="S128" s="8">
        <v>6000.0</v>
      </c>
      <c r="T128" s="2" t="s">
        <v>604</v>
      </c>
      <c r="U128" s="4" t="s">
        <v>81</v>
      </c>
      <c r="V128" s="2" t="s">
        <v>26</v>
      </c>
    </row>
    <row r="129" ht="60.0" customHeight="1">
      <c r="A129" s="2" t="s">
        <v>627</v>
      </c>
      <c r="B129" s="2" t="s">
        <v>34</v>
      </c>
      <c r="C129" s="4" t="s">
        <v>618</v>
      </c>
      <c r="D129" s="4" t="s">
        <v>628</v>
      </c>
      <c r="E129" s="4" t="s">
        <v>620</v>
      </c>
      <c r="F129" s="4" t="s">
        <v>76</v>
      </c>
      <c r="G129" s="2" t="b">
        <v>0</v>
      </c>
      <c r="H129" s="2" t="str">
        <f t="shared" si="1"/>
        <v>Dependency open</v>
      </c>
      <c r="I129" s="2"/>
      <c r="J129" s="2"/>
      <c r="K129" s="2"/>
      <c r="L129" s="2" t="s">
        <v>623</v>
      </c>
      <c r="M129" s="2"/>
      <c r="N129" s="2"/>
      <c r="O129" s="2" t="str">
        <f>IF(AND(OR(L129="",IFNA(VLOOKUP(L129,$A$6:$H$128,8,FALSE),"Missing")="Verified"),OR(M129="",IFNA(VLOOKUP(M129,$A$6:$H$128,8,FALSE),"Missing")="Verified"),OR(N129="",IFNA(VLOOKUP(N129,$A$6:$H$128,8,FALSE),"Missing")="Verified")),"Ready","Dependency open")</f>
        <v>Dependency open</v>
      </c>
      <c r="P129" s="4" t="s">
        <v>629</v>
      </c>
      <c r="Q129" s="4" t="s">
        <v>630</v>
      </c>
      <c r="R129" s="8"/>
      <c r="S129" s="8">
        <v>6000.0</v>
      </c>
      <c r="T129" s="2" t="s">
        <v>604</v>
      </c>
      <c r="U129" s="4" t="s">
        <v>81</v>
      </c>
      <c r="V129" s="2" t="s">
        <v>26</v>
      </c>
    </row>
    <row r="130" ht="60.0" customHeight="1">
      <c r="A130" s="2" t="s">
        <v>631</v>
      </c>
      <c r="B130" s="2" t="s">
        <v>34</v>
      </c>
      <c r="C130" s="4" t="s">
        <v>618</v>
      </c>
      <c r="D130" s="4" t="s">
        <v>632</v>
      </c>
      <c r="E130" s="4" t="s">
        <v>620</v>
      </c>
      <c r="F130" s="4" t="s">
        <v>76</v>
      </c>
      <c r="G130" s="2" t="b">
        <v>0</v>
      </c>
      <c r="H130" s="2" t="str">
        <f t="shared" si="1"/>
        <v>Dependency open</v>
      </c>
      <c r="I130" s="2"/>
      <c r="J130" s="2"/>
      <c r="K130" s="2"/>
      <c r="L130" s="2" t="s">
        <v>627</v>
      </c>
      <c r="M130" s="2"/>
      <c r="N130" s="2"/>
      <c r="O130" s="2" t="str">
        <f>IF(AND(OR(L130="",IFNA(VLOOKUP(L130,$A$6:$H$129,8,FALSE),"Missing")="Verified"),OR(M130="",IFNA(VLOOKUP(M130,$A$6:$H$129,8,FALSE),"Missing")="Verified"),OR(N130="",IFNA(VLOOKUP(N130,$A$6:$H$129,8,FALSE),"Missing")="Verified")),"Ready","Dependency open")</f>
        <v>Dependency open</v>
      </c>
      <c r="P130" s="4" t="s">
        <v>633</v>
      </c>
      <c r="Q130" s="4" t="s">
        <v>634</v>
      </c>
      <c r="R130" s="8"/>
      <c r="S130" s="8">
        <v>6000.0</v>
      </c>
      <c r="T130" s="2" t="s">
        <v>604</v>
      </c>
      <c r="U130" s="4" t="s">
        <v>81</v>
      </c>
      <c r="V130" s="2" t="s">
        <v>26</v>
      </c>
    </row>
    <row r="131" ht="60.0" customHeight="1">
      <c r="A131" s="2" t="s">
        <v>635</v>
      </c>
      <c r="B131" s="2" t="s">
        <v>34</v>
      </c>
      <c r="C131" s="4" t="s">
        <v>636</v>
      </c>
      <c r="D131" s="4" t="s">
        <v>637</v>
      </c>
      <c r="E131" s="4" t="s">
        <v>216</v>
      </c>
      <c r="F131" s="4" t="s">
        <v>76</v>
      </c>
      <c r="G131" s="2" t="b">
        <v>0</v>
      </c>
      <c r="H131" s="2" t="str">
        <f t="shared" si="1"/>
        <v>Dependency open</v>
      </c>
      <c r="I131" s="2"/>
      <c r="J131" s="2"/>
      <c r="K131" s="2"/>
      <c r="L131" s="2" t="s">
        <v>594</v>
      </c>
      <c r="M131" s="2"/>
      <c r="N131" s="2"/>
      <c r="O131" s="2" t="str">
        <f>IF(AND(OR(L131="",IFNA(VLOOKUP(L131,$A$6:$H$130,8,FALSE),"Missing")="Verified"),OR(M131="",IFNA(VLOOKUP(M131,$A$6:$H$130,8,FALSE),"Missing")="Verified"),OR(N131="",IFNA(VLOOKUP(N131,$A$6:$H$130,8,FALSE),"Missing")="Verified")),"Ready","Dependency open")</f>
        <v>Dependency open</v>
      </c>
      <c r="P131" s="4" t="s">
        <v>638</v>
      </c>
      <c r="Q131" s="4" t="s">
        <v>639</v>
      </c>
      <c r="R131" s="8"/>
      <c r="S131" s="8">
        <v>6000.0</v>
      </c>
      <c r="T131" s="2" t="s">
        <v>604</v>
      </c>
      <c r="U131" s="4" t="s">
        <v>81</v>
      </c>
      <c r="V131" s="2" t="s">
        <v>26</v>
      </c>
    </row>
    <row r="132" ht="60.0" customHeight="1">
      <c r="A132" s="2" t="s">
        <v>640</v>
      </c>
      <c r="B132" s="2" t="s">
        <v>34</v>
      </c>
      <c r="C132" s="4" t="s">
        <v>636</v>
      </c>
      <c r="D132" s="4" t="s">
        <v>641</v>
      </c>
      <c r="E132" s="4" t="s">
        <v>216</v>
      </c>
      <c r="F132" s="4" t="s">
        <v>76</v>
      </c>
      <c r="G132" s="2" t="b">
        <v>0</v>
      </c>
      <c r="H132" s="2" t="str">
        <f t="shared" si="1"/>
        <v>Dependency open</v>
      </c>
      <c r="I132" s="2"/>
      <c r="J132" s="2"/>
      <c r="K132" s="2"/>
      <c r="L132" s="2" t="s">
        <v>635</v>
      </c>
      <c r="M132" s="2"/>
      <c r="N132" s="2"/>
      <c r="O132" s="2" t="str">
        <f>IF(AND(OR(L132="",IFNA(VLOOKUP(L132,$A$6:$H$131,8,FALSE),"Missing")="Verified"),OR(M132="",IFNA(VLOOKUP(M132,$A$6:$H$131,8,FALSE),"Missing")="Verified"),OR(N132="",IFNA(VLOOKUP(N132,$A$6:$H$131,8,FALSE),"Missing")="Verified")),"Ready","Dependency open")</f>
        <v>Dependency open</v>
      </c>
      <c r="P132" s="4" t="s">
        <v>642</v>
      </c>
      <c r="Q132" s="4" t="s">
        <v>643</v>
      </c>
      <c r="R132" s="8"/>
      <c r="S132" s="8">
        <v>6000.0</v>
      </c>
      <c r="T132" s="2" t="s">
        <v>604</v>
      </c>
      <c r="U132" s="4" t="s">
        <v>81</v>
      </c>
      <c r="V132" s="2" t="s">
        <v>26</v>
      </c>
    </row>
    <row r="133" ht="60.0" customHeight="1">
      <c r="A133" s="2" t="s">
        <v>644</v>
      </c>
      <c r="B133" s="2" t="s">
        <v>34</v>
      </c>
      <c r="C133" s="4" t="s">
        <v>636</v>
      </c>
      <c r="D133" s="4" t="s">
        <v>645</v>
      </c>
      <c r="E133" s="4" t="s">
        <v>216</v>
      </c>
      <c r="F133" s="4" t="s">
        <v>76</v>
      </c>
      <c r="G133" s="2" t="b">
        <v>0</v>
      </c>
      <c r="H133" s="2" t="str">
        <f t="shared" si="1"/>
        <v>Dependency open</v>
      </c>
      <c r="I133" s="2"/>
      <c r="J133" s="2"/>
      <c r="K133" s="2"/>
      <c r="L133" s="2" t="s">
        <v>640</v>
      </c>
      <c r="M133" s="2"/>
      <c r="N133" s="2"/>
      <c r="O133" s="2" t="str">
        <f>IF(AND(OR(L133="",IFNA(VLOOKUP(L133,$A$6:$H$132,8,FALSE),"Missing")="Verified"),OR(M133="",IFNA(VLOOKUP(M133,$A$6:$H$132,8,FALSE),"Missing")="Verified"),OR(N133="",IFNA(VLOOKUP(N133,$A$6:$H$132,8,FALSE),"Missing")="Verified")),"Ready","Dependency open")</f>
        <v>Dependency open</v>
      </c>
      <c r="P133" s="4" t="s">
        <v>646</v>
      </c>
      <c r="Q133" s="4" t="s">
        <v>647</v>
      </c>
      <c r="R133" s="8"/>
      <c r="S133" s="8">
        <v>6000.0</v>
      </c>
      <c r="T133" s="2" t="s">
        <v>604</v>
      </c>
      <c r="U133" s="4" t="s">
        <v>81</v>
      </c>
      <c r="V133" s="2" t="s">
        <v>26</v>
      </c>
    </row>
    <row r="134" ht="60.0" customHeight="1">
      <c r="A134" s="2" t="s">
        <v>648</v>
      </c>
      <c r="B134" s="2" t="s">
        <v>34</v>
      </c>
      <c r="C134" s="4" t="s">
        <v>636</v>
      </c>
      <c r="D134" s="4" t="s">
        <v>649</v>
      </c>
      <c r="E134" s="4" t="s">
        <v>216</v>
      </c>
      <c r="F134" s="4" t="s">
        <v>76</v>
      </c>
      <c r="G134" s="2" t="b">
        <v>0</v>
      </c>
      <c r="H134" s="2" t="str">
        <f t="shared" si="1"/>
        <v>Dependency open</v>
      </c>
      <c r="I134" s="2"/>
      <c r="J134" s="2"/>
      <c r="K134" s="2"/>
      <c r="L134" s="2" t="s">
        <v>644</v>
      </c>
      <c r="M134" s="2"/>
      <c r="N134" s="2"/>
      <c r="O134" s="2" t="str">
        <f>IF(AND(OR(L134="",IFNA(VLOOKUP(L134,$A$6:$H$133,8,FALSE),"Missing")="Verified"),OR(M134="",IFNA(VLOOKUP(M134,$A$6:$H$133,8,FALSE),"Missing")="Verified"),OR(N134="",IFNA(VLOOKUP(N134,$A$6:$H$133,8,FALSE),"Missing")="Verified")),"Ready","Dependency open")</f>
        <v>Dependency open</v>
      </c>
      <c r="P134" s="4" t="s">
        <v>650</v>
      </c>
      <c r="Q134" s="4" t="s">
        <v>651</v>
      </c>
      <c r="R134" s="8"/>
      <c r="S134" s="8">
        <v>6000.0</v>
      </c>
      <c r="T134" s="2" t="s">
        <v>604</v>
      </c>
      <c r="U134" s="4" t="s">
        <v>81</v>
      </c>
      <c r="V134" s="2" t="s">
        <v>26</v>
      </c>
    </row>
    <row r="135" ht="60.0" customHeight="1">
      <c r="A135" s="2" t="s">
        <v>652</v>
      </c>
      <c r="B135" s="2" t="s">
        <v>34</v>
      </c>
      <c r="C135" s="4" t="s">
        <v>653</v>
      </c>
      <c r="D135" s="4" t="s">
        <v>654</v>
      </c>
      <c r="E135" s="4" t="s">
        <v>132</v>
      </c>
      <c r="F135" s="4" t="s">
        <v>76</v>
      </c>
      <c r="G135" s="2" t="b">
        <v>0</v>
      </c>
      <c r="H135" s="2" t="str">
        <f t="shared" si="1"/>
        <v>Dependency open</v>
      </c>
      <c r="I135" s="2"/>
      <c r="J135" s="2"/>
      <c r="K135" s="2"/>
      <c r="L135" s="2" t="s">
        <v>613</v>
      </c>
      <c r="M135" s="2" t="s">
        <v>631</v>
      </c>
      <c r="N135" s="2" t="s">
        <v>648</v>
      </c>
      <c r="O135" s="2" t="str">
        <f>IF(AND(OR(L135="",IFNA(VLOOKUP(L135,$A$6:$H$134,8,FALSE),"Missing")="Verified"),OR(M135="",IFNA(VLOOKUP(M135,$A$6:$H$134,8,FALSE),"Missing")="Verified"),OR(N135="",IFNA(VLOOKUP(N135,$A$6:$H$134,8,FALSE),"Missing")="Verified")),"Ready","Dependency open")</f>
        <v>Dependency open</v>
      </c>
      <c r="P135" s="4" t="s">
        <v>133</v>
      </c>
      <c r="Q135" s="4" t="s">
        <v>134</v>
      </c>
      <c r="R135" s="8"/>
      <c r="S135" s="8">
        <v>4000.0</v>
      </c>
      <c r="T135" s="2" t="s">
        <v>655</v>
      </c>
      <c r="U135" s="4" t="s">
        <v>136</v>
      </c>
      <c r="V135" s="2" t="s">
        <v>26</v>
      </c>
    </row>
    <row r="136" ht="60.0" customHeight="1">
      <c r="A136" s="2" t="s">
        <v>656</v>
      </c>
      <c r="B136" s="2" t="s">
        <v>36</v>
      </c>
      <c r="C136" s="4" t="s">
        <v>657</v>
      </c>
      <c r="D136" s="4" t="s">
        <v>658</v>
      </c>
      <c r="E136" s="4" t="s">
        <v>659</v>
      </c>
      <c r="F136" s="4" t="s">
        <v>76</v>
      </c>
      <c r="G136" s="2" t="b">
        <v>0</v>
      </c>
      <c r="H136" s="2" t="str">
        <f t="shared" si="1"/>
        <v>Dependency open</v>
      </c>
      <c r="I136" s="2"/>
      <c r="J136" s="2"/>
      <c r="K136" s="2"/>
      <c r="L136" s="2" t="s">
        <v>594</v>
      </c>
      <c r="M136" s="2"/>
      <c r="N136" s="2"/>
      <c r="O136" s="2" t="str">
        <f>IF(AND(OR(L136="",IFNA(VLOOKUP(L136,$A$6:$H$135,8,FALSE),"Missing")="Verified"),OR(M136="",IFNA(VLOOKUP(M136,$A$6:$H$135,8,FALSE),"Missing")="Verified"),OR(N136="",IFNA(VLOOKUP(N136,$A$6:$H$135,8,FALSE),"Missing")="Verified")),"Ready","Dependency open")</f>
        <v>Dependency open</v>
      </c>
      <c r="P136" s="4" t="s">
        <v>660</v>
      </c>
      <c r="Q136" s="4" t="s">
        <v>661</v>
      </c>
      <c r="R136" s="8"/>
      <c r="S136" s="8">
        <v>6000.0</v>
      </c>
      <c r="T136" s="2" t="s">
        <v>662</v>
      </c>
      <c r="U136" s="4" t="s">
        <v>81</v>
      </c>
      <c r="V136" s="2" t="s">
        <v>26</v>
      </c>
    </row>
    <row r="137" ht="60.0" customHeight="1">
      <c r="A137" s="2" t="s">
        <v>663</v>
      </c>
      <c r="B137" s="2" t="s">
        <v>36</v>
      </c>
      <c r="C137" s="4" t="s">
        <v>657</v>
      </c>
      <c r="D137" s="4" t="s">
        <v>664</v>
      </c>
      <c r="E137" s="4" t="s">
        <v>659</v>
      </c>
      <c r="F137" s="4" t="s">
        <v>76</v>
      </c>
      <c r="G137" s="2" t="b">
        <v>0</v>
      </c>
      <c r="H137" s="2" t="str">
        <f t="shared" si="1"/>
        <v>Dependency open</v>
      </c>
      <c r="I137" s="2"/>
      <c r="J137" s="2"/>
      <c r="K137" s="2"/>
      <c r="L137" s="2" t="s">
        <v>656</v>
      </c>
      <c r="M137" s="2"/>
      <c r="N137" s="2"/>
      <c r="O137" s="2" t="str">
        <f>IF(AND(OR(L137="",IFNA(VLOOKUP(L137,$A$6:$H$136,8,FALSE),"Missing")="Verified"),OR(M137="",IFNA(VLOOKUP(M137,$A$6:$H$136,8,FALSE),"Missing")="Verified"),OR(N137="",IFNA(VLOOKUP(N137,$A$6:$H$136,8,FALSE),"Missing")="Verified")),"Ready","Dependency open")</f>
        <v>Dependency open</v>
      </c>
      <c r="P137" s="4" t="s">
        <v>665</v>
      </c>
      <c r="Q137" s="4" t="s">
        <v>666</v>
      </c>
      <c r="R137" s="8"/>
      <c r="S137" s="8">
        <v>6000.0</v>
      </c>
      <c r="T137" s="2" t="s">
        <v>662</v>
      </c>
      <c r="U137" s="4" t="s">
        <v>81</v>
      </c>
      <c r="V137" s="2" t="s">
        <v>26</v>
      </c>
    </row>
    <row r="138" ht="60.0" customHeight="1">
      <c r="A138" s="2" t="s">
        <v>667</v>
      </c>
      <c r="B138" s="2" t="s">
        <v>36</v>
      </c>
      <c r="C138" s="4" t="s">
        <v>657</v>
      </c>
      <c r="D138" s="4" t="s">
        <v>668</v>
      </c>
      <c r="E138" s="4" t="s">
        <v>659</v>
      </c>
      <c r="F138" s="4" t="s">
        <v>76</v>
      </c>
      <c r="G138" s="2" t="b">
        <v>0</v>
      </c>
      <c r="H138" s="2" t="str">
        <f t="shared" si="1"/>
        <v>Dependency open</v>
      </c>
      <c r="I138" s="2"/>
      <c r="J138" s="2"/>
      <c r="K138" s="2"/>
      <c r="L138" s="2" t="s">
        <v>663</v>
      </c>
      <c r="M138" s="2"/>
      <c r="N138" s="2"/>
      <c r="O138" s="2" t="str">
        <f>IF(AND(OR(L138="",IFNA(VLOOKUP(L138,$A$6:$H$137,8,FALSE),"Missing")="Verified"),OR(M138="",IFNA(VLOOKUP(M138,$A$6:$H$137,8,FALSE),"Missing")="Verified"),OR(N138="",IFNA(VLOOKUP(N138,$A$6:$H$137,8,FALSE),"Missing")="Verified")),"Ready","Dependency open")</f>
        <v>Dependency open</v>
      </c>
      <c r="P138" s="4" t="s">
        <v>669</v>
      </c>
      <c r="Q138" s="4" t="s">
        <v>670</v>
      </c>
      <c r="R138" s="8"/>
      <c r="S138" s="8">
        <v>6000.0</v>
      </c>
      <c r="T138" s="2" t="s">
        <v>662</v>
      </c>
      <c r="U138" s="4" t="s">
        <v>81</v>
      </c>
      <c r="V138" s="2" t="s">
        <v>26</v>
      </c>
    </row>
    <row r="139" ht="60.0" customHeight="1">
      <c r="A139" s="2" t="s">
        <v>671</v>
      </c>
      <c r="B139" s="2" t="s">
        <v>36</v>
      </c>
      <c r="C139" s="4" t="s">
        <v>657</v>
      </c>
      <c r="D139" s="4" t="s">
        <v>672</v>
      </c>
      <c r="E139" s="4" t="s">
        <v>659</v>
      </c>
      <c r="F139" s="4" t="s">
        <v>76</v>
      </c>
      <c r="G139" s="2" t="b">
        <v>0</v>
      </c>
      <c r="H139" s="2" t="str">
        <f t="shared" si="1"/>
        <v>Dependency open</v>
      </c>
      <c r="I139" s="2"/>
      <c r="J139" s="2"/>
      <c r="K139" s="2"/>
      <c r="L139" s="2" t="s">
        <v>667</v>
      </c>
      <c r="M139" s="2"/>
      <c r="N139" s="2"/>
      <c r="O139" s="2" t="str">
        <f>IF(AND(OR(L139="",IFNA(VLOOKUP(L139,$A$6:$H$138,8,FALSE),"Missing")="Verified"),OR(M139="",IFNA(VLOOKUP(M139,$A$6:$H$138,8,FALSE),"Missing")="Verified"),OR(N139="",IFNA(VLOOKUP(N139,$A$6:$H$138,8,FALSE),"Missing")="Verified")),"Ready","Dependency open")</f>
        <v>Dependency open</v>
      </c>
      <c r="P139" s="4" t="s">
        <v>673</v>
      </c>
      <c r="Q139" s="4" t="s">
        <v>674</v>
      </c>
      <c r="R139" s="8"/>
      <c r="S139" s="8">
        <v>6000.0</v>
      </c>
      <c r="T139" s="2" t="s">
        <v>662</v>
      </c>
      <c r="U139" s="4" t="s">
        <v>81</v>
      </c>
      <c r="V139" s="2" t="s">
        <v>26</v>
      </c>
    </row>
    <row r="140" ht="60.0" customHeight="1">
      <c r="A140" s="2" t="s">
        <v>675</v>
      </c>
      <c r="B140" s="2" t="s">
        <v>36</v>
      </c>
      <c r="C140" s="4" t="s">
        <v>676</v>
      </c>
      <c r="D140" s="4" t="s">
        <v>677</v>
      </c>
      <c r="E140" s="4" t="s">
        <v>678</v>
      </c>
      <c r="F140" s="4" t="s">
        <v>76</v>
      </c>
      <c r="G140" s="2" t="b">
        <v>0</v>
      </c>
      <c r="H140" s="2" t="str">
        <f t="shared" si="1"/>
        <v>Dependency open</v>
      </c>
      <c r="I140" s="2"/>
      <c r="J140" s="2"/>
      <c r="K140" s="2"/>
      <c r="L140" s="2" t="s">
        <v>594</v>
      </c>
      <c r="M140" s="2"/>
      <c r="N140" s="2"/>
      <c r="O140" s="2" t="str">
        <f>IF(AND(OR(L140="",IFNA(VLOOKUP(L140,$A$6:$H$139,8,FALSE),"Missing")="Verified"),OR(M140="",IFNA(VLOOKUP(M140,$A$6:$H$139,8,FALSE),"Missing")="Verified"),OR(N140="",IFNA(VLOOKUP(N140,$A$6:$H$139,8,FALSE),"Missing")="Verified")),"Ready","Dependency open")</f>
        <v>Dependency open</v>
      </c>
      <c r="P140" s="4" t="s">
        <v>679</v>
      </c>
      <c r="Q140" s="4" t="s">
        <v>680</v>
      </c>
      <c r="R140" s="8"/>
      <c r="S140" s="8">
        <v>6000.0</v>
      </c>
      <c r="T140" s="2" t="s">
        <v>662</v>
      </c>
      <c r="U140" s="4" t="s">
        <v>81</v>
      </c>
      <c r="V140" s="2" t="s">
        <v>26</v>
      </c>
    </row>
    <row r="141" ht="60.0" customHeight="1">
      <c r="A141" s="2" t="s">
        <v>681</v>
      </c>
      <c r="B141" s="2" t="s">
        <v>36</v>
      </c>
      <c r="C141" s="4" t="s">
        <v>676</v>
      </c>
      <c r="D141" s="4" t="s">
        <v>682</v>
      </c>
      <c r="E141" s="4" t="s">
        <v>678</v>
      </c>
      <c r="F141" s="4" t="s">
        <v>76</v>
      </c>
      <c r="G141" s="2" t="b">
        <v>0</v>
      </c>
      <c r="H141" s="2" t="str">
        <f t="shared" si="1"/>
        <v>Dependency open</v>
      </c>
      <c r="I141" s="2"/>
      <c r="J141" s="2"/>
      <c r="K141" s="2"/>
      <c r="L141" s="2" t="s">
        <v>675</v>
      </c>
      <c r="M141" s="2"/>
      <c r="N141" s="2"/>
      <c r="O141" s="2" t="str">
        <f>IF(AND(OR(L141="",IFNA(VLOOKUP(L141,$A$6:$H$140,8,FALSE),"Missing")="Verified"),OR(M141="",IFNA(VLOOKUP(M141,$A$6:$H$140,8,FALSE),"Missing")="Verified"),OR(N141="",IFNA(VLOOKUP(N141,$A$6:$H$140,8,FALSE),"Missing")="Verified")),"Ready","Dependency open")</f>
        <v>Dependency open</v>
      </c>
      <c r="P141" s="4" t="s">
        <v>683</v>
      </c>
      <c r="Q141" s="4" t="s">
        <v>684</v>
      </c>
      <c r="R141" s="8"/>
      <c r="S141" s="8">
        <v>6000.0</v>
      </c>
      <c r="T141" s="2" t="s">
        <v>662</v>
      </c>
      <c r="U141" s="4" t="s">
        <v>81</v>
      </c>
      <c r="V141" s="2" t="s">
        <v>26</v>
      </c>
    </row>
    <row r="142" ht="60.0" customHeight="1">
      <c r="A142" s="2" t="s">
        <v>685</v>
      </c>
      <c r="B142" s="2" t="s">
        <v>36</v>
      </c>
      <c r="C142" s="4" t="s">
        <v>676</v>
      </c>
      <c r="D142" s="4" t="s">
        <v>686</v>
      </c>
      <c r="E142" s="4" t="s">
        <v>678</v>
      </c>
      <c r="F142" s="4" t="s">
        <v>76</v>
      </c>
      <c r="G142" s="2" t="b">
        <v>0</v>
      </c>
      <c r="H142" s="2" t="str">
        <f t="shared" si="1"/>
        <v>Dependency open</v>
      </c>
      <c r="I142" s="2"/>
      <c r="J142" s="2"/>
      <c r="K142" s="2"/>
      <c r="L142" s="2" t="s">
        <v>681</v>
      </c>
      <c r="M142" s="2"/>
      <c r="N142" s="2"/>
      <c r="O142" s="2" t="str">
        <f>IF(AND(OR(L142="",IFNA(VLOOKUP(L142,$A$6:$H$141,8,FALSE),"Missing")="Verified"),OR(M142="",IFNA(VLOOKUP(M142,$A$6:$H$141,8,FALSE),"Missing")="Verified"),OR(N142="",IFNA(VLOOKUP(N142,$A$6:$H$141,8,FALSE),"Missing")="Verified")),"Ready","Dependency open")</f>
        <v>Dependency open</v>
      </c>
      <c r="P142" s="4" t="s">
        <v>687</v>
      </c>
      <c r="Q142" s="4" t="s">
        <v>688</v>
      </c>
      <c r="R142" s="8"/>
      <c r="S142" s="8">
        <v>6000.0</v>
      </c>
      <c r="T142" s="2" t="s">
        <v>662</v>
      </c>
      <c r="U142" s="4" t="s">
        <v>81</v>
      </c>
      <c r="V142" s="2" t="s">
        <v>26</v>
      </c>
    </row>
    <row r="143" ht="60.0" customHeight="1">
      <c r="A143" s="2" t="s">
        <v>689</v>
      </c>
      <c r="B143" s="2" t="s">
        <v>36</v>
      </c>
      <c r="C143" s="4" t="s">
        <v>676</v>
      </c>
      <c r="D143" s="4" t="s">
        <v>690</v>
      </c>
      <c r="E143" s="4" t="s">
        <v>678</v>
      </c>
      <c r="F143" s="4" t="s">
        <v>76</v>
      </c>
      <c r="G143" s="2" t="b">
        <v>0</v>
      </c>
      <c r="H143" s="2" t="str">
        <f t="shared" si="1"/>
        <v>Dependency open</v>
      </c>
      <c r="I143" s="2"/>
      <c r="J143" s="2"/>
      <c r="K143" s="2"/>
      <c r="L143" s="2" t="s">
        <v>685</v>
      </c>
      <c r="M143" s="2"/>
      <c r="N143" s="2"/>
      <c r="O143" s="2" t="str">
        <f>IF(AND(OR(L143="",IFNA(VLOOKUP(L143,$A$6:$H$142,8,FALSE),"Missing")="Verified"),OR(M143="",IFNA(VLOOKUP(M143,$A$6:$H$142,8,FALSE),"Missing")="Verified"),OR(N143="",IFNA(VLOOKUP(N143,$A$6:$H$142,8,FALSE),"Missing")="Verified")),"Ready","Dependency open")</f>
        <v>Dependency open</v>
      </c>
      <c r="P143" s="4" t="s">
        <v>691</v>
      </c>
      <c r="Q143" s="4" t="s">
        <v>692</v>
      </c>
      <c r="R143" s="8"/>
      <c r="S143" s="8">
        <v>6000.0</v>
      </c>
      <c r="T143" s="2" t="s">
        <v>662</v>
      </c>
      <c r="U143" s="4" t="s">
        <v>81</v>
      </c>
      <c r="V143" s="2" t="s">
        <v>26</v>
      </c>
    </row>
    <row r="144" ht="60.0" customHeight="1">
      <c r="A144" s="2" t="s">
        <v>693</v>
      </c>
      <c r="B144" s="2" t="s">
        <v>36</v>
      </c>
      <c r="C144" s="4" t="s">
        <v>694</v>
      </c>
      <c r="D144" s="4" t="s">
        <v>695</v>
      </c>
      <c r="E144" s="4" t="s">
        <v>696</v>
      </c>
      <c r="F144" s="4" t="s">
        <v>76</v>
      </c>
      <c r="G144" s="2" t="b">
        <v>0</v>
      </c>
      <c r="H144" s="2" t="str">
        <f t="shared" si="1"/>
        <v>Dependency open</v>
      </c>
      <c r="I144" s="2"/>
      <c r="J144" s="2"/>
      <c r="K144" s="2"/>
      <c r="L144" s="2" t="s">
        <v>594</v>
      </c>
      <c r="M144" s="2"/>
      <c r="N144" s="2"/>
      <c r="O144" s="2" t="str">
        <f>IF(AND(OR(L144="",IFNA(VLOOKUP(L144,$A$6:$H$143,8,FALSE),"Missing")="Verified"),OR(M144="",IFNA(VLOOKUP(M144,$A$6:$H$143,8,FALSE),"Missing")="Verified"),OR(N144="",IFNA(VLOOKUP(N144,$A$6:$H$143,8,FALSE),"Missing")="Verified")),"Ready","Dependency open")</f>
        <v>Dependency open</v>
      </c>
      <c r="P144" s="4" t="s">
        <v>697</v>
      </c>
      <c r="Q144" s="4" t="s">
        <v>698</v>
      </c>
      <c r="R144" s="8"/>
      <c r="S144" s="8">
        <v>6000.0</v>
      </c>
      <c r="T144" s="2" t="s">
        <v>662</v>
      </c>
      <c r="U144" s="4" t="s">
        <v>81</v>
      </c>
      <c r="V144" s="2" t="s">
        <v>26</v>
      </c>
    </row>
    <row r="145" ht="60.0" customHeight="1">
      <c r="A145" s="2" t="s">
        <v>699</v>
      </c>
      <c r="B145" s="2" t="s">
        <v>36</v>
      </c>
      <c r="C145" s="4" t="s">
        <v>694</v>
      </c>
      <c r="D145" s="4" t="s">
        <v>700</v>
      </c>
      <c r="E145" s="4" t="s">
        <v>696</v>
      </c>
      <c r="F145" s="4" t="s">
        <v>76</v>
      </c>
      <c r="G145" s="2" t="b">
        <v>0</v>
      </c>
      <c r="H145" s="2" t="str">
        <f t="shared" si="1"/>
        <v>Dependency open</v>
      </c>
      <c r="I145" s="2"/>
      <c r="J145" s="2"/>
      <c r="K145" s="2"/>
      <c r="L145" s="2" t="s">
        <v>693</v>
      </c>
      <c r="M145" s="2"/>
      <c r="N145" s="2"/>
      <c r="O145" s="2" t="str">
        <f>IF(AND(OR(L145="",IFNA(VLOOKUP(L145,$A$6:$H$144,8,FALSE),"Missing")="Verified"),OR(M145="",IFNA(VLOOKUP(M145,$A$6:$H$144,8,FALSE),"Missing")="Verified"),OR(N145="",IFNA(VLOOKUP(N145,$A$6:$H$144,8,FALSE),"Missing")="Verified")),"Ready","Dependency open")</f>
        <v>Dependency open</v>
      </c>
      <c r="P145" s="4" t="s">
        <v>701</v>
      </c>
      <c r="Q145" s="4" t="s">
        <v>702</v>
      </c>
      <c r="R145" s="8"/>
      <c r="S145" s="8">
        <v>6000.0</v>
      </c>
      <c r="T145" s="2" t="s">
        <v>662</v>
      </c>
      <c r="U145" s="4" t="s">
        <v>81</v>
      </c>
      <c r="V145" s="2" t="s">
        <v>26</v>
      </c>
    </row>
    <row r="146" ht="60.0" customHeight="1">
      <c r="A146" s="2" t="s">
        <v>703</v>
      </c>
      <c r="B146" s="2" t="s">
        <v>36</v>
      </c>
      <c r="C146" s="4" t="s">
        <v>694</v>
      </c>
      <c r="D146" s="4" t="s">
        <v>704</v>
      </c>
      <c r="E146" s="4" t="s">
        <v>696</v>
      </c>
      <c r="F146" s="4" t="s">
        <v>76</v>
      </c>
      <c r="G146" s="2" t="b">
        <v>0</v>
      </c>
      <c r="H146" s="2" t="str">
        <f t="shared" si="1"/>
        <v>Dependency open</v>
      </c>
      <c r="I146" s="2"/>
      <c r="J146" s="2"/>
      <c r="K146" s="2"/>
      <c r="L146" s="2" t="s">
        <v>699</v>
      </c>
      <c r="M146" s="2"/>
      <c r="N146" s="2"/>
      <c r="O146" s="2" t="str">
        <f>IF(AND(OR(L146="",IFNA(VLOOKUP(L146,$A$6:$H$145,8,FALSE),"Missing")="Verified"),OR(M146="",IFNA(VLOOKUP(M146,$A$6:$H$145,8,FALSE),"Missing")="Verified"),OR(N146="",IFNA(VLOOKUP(N146,$A$6:$H$145,8,FALSE),"Missing")="Verified")),"Ready","Dependency open")</f>
        <v>Dependency open</v>
      </c>
      <c r="P146" s="4" t="s">
        <v>705</v>
      </c>
      <c r="Q146" s="4" t="s">
        <v>706</v>
      </c>
      <c r="R146" s="8"/>
      <c r="S146" s="8">
        <v>6000.0</v>
      </c>
      <c r="T146" s="2" t="s">
        <v>662</v>
      </c>
      <c r="U146" s="4" t="s">
        <v>81</v>
      </c>
      <c r="V146" s="2" t="s">
        <v>26</v>
      </c>
    </row>
    <row r="147" ht="60.0" customHeight="1">
      <c r="A147" s="2" t="s">
        <v>707</v>
      </c>
      <c r="B147" s="2" t="s">
        <v>36</v>
      </c>
      <c r="C147" s="4" t="s">
        <v>694</v>
      </c>
      <c r="D147" s="4" t="s">
        <v>708</v>
      </c>
      <c r="E147" s="4" t="s">
        <v>696</v>
      </c>
      <c r="F147" s="4" t="s">
        <v>76</v>
      </c>
      <c r="G147" s="2" t="b">
        <v>0</v>
      </c>
      <c r="H147" s="2" t="str">
        <f t="shared" si="1"/>
        <v>Dependency open</v>
      </c>
      <c r="I147" s="2"/>
      <c r="J147" s="2"/>
      <c r="K147" s="2"/>
      <c r="L147" s="2" t="s">
        <v>703</v>
      </c>
      <c r="M147" s="2"/>
      <c r="N147" s="2"/>
      <c r="O147" s="2" t="str">
        <f>IF(AND(OR(L147="",IFNA(VLOOKUP(L147,$A$6:$H$146,8,FALSE),"Missing")="Verified"),OR(M147="",IFNA(VLOOKUP(M147,$A$6:$H$146,8,FALSE),"Missing")="Verified"),OR(N147="",IFNA(VLOOKUP(N147,$A$6:$H$146,8,FALSE),"Missing")="Verified")),"Ready","Dependency open")</f>
        <v>Dependency open</v>
      </c>
      <c r="P147" s="4" t="s">
        <v>709</v>
      </c>
      <c r="Q147" s="4" t="s">
        <v>710</v>
      </c>
      <c r="R147" s="8"/>
      <c r="S147" s="8">
        <v>6000.0</v>
      </c>
      <c r="T147" s="2" t="s">
        <v>662</v>
      </c>
      <c r="U147" s="4" t="s">
        <v>81</v>
      </c>
      <c r="V147" s="2" t="s">
        <v>26</v>
      </c>
    </row>
    <row r="148" ht="60.0" customHeight="1">
      <c r="A148" s="2" t="s">
        <v>711</v>
      </c>
      <c r="B148" s="2" t="s">
        <v>36</v>
      </c>
      <c r="C148" s="4" t="s">
        <v>712</v>
      </c>
      <c r="D148" s="4" t="s">
        <v>713</v>
      </c>
      <c r="E148" s="4" t="s">
        <v>132</v>
      </c>
      <c r="F148" s="4" t="s">
        <v>76</v>
      </c>
      <c r="G148" s="2" t="b">
        <v>0</v>
      </c>
      <c r="H148" s="2" t="str">
        <f t="shared" si="1"/>
        <v>Dependency open</v>
      </c>
      <c r="I148" s="2"/>
      <c r="J148" s="2"/>
      <c r="K148" s="2"/>
      <c r="L148" s="2" t="s">
        <v>671</v>
      </c>
      <c r="M148" s="2" t="s">
        <v>689</v>
      </c>
      <c r="N148" s="2" t="s">
        <v>707</v>
      </c>
      <c r="O148" s="2" t="str">
        <f>IF(AND(OR(L148="",IFNA(VLOOKUP(L148,$A$6:$H$147,8,FALSE),"Missing")="Verified"),OR(M148="",IFNA(VLOOKUP(M148,$A$6:$H$147,8,FALSE),"Missing")="Verified"),OR(N148="",IFNA(VLOOKUP(N148,$A$6:$H$147,8,FALSE),"Missing")="Verified")),"Ready","Dependency open")</f>
        <v>Dependency open</v>
      </c>
      <c r="P148" s="4" t="s">
        <v>133</v>
      </c>
      <c r="Q148" s="4" t="s">
        <v>134</v>
      </c>
      <c r="R148" s="8"/>
      <c r="S148" s="8">
        <v>4000.0</v>
      </c>
      <c r="T148" s="2" t="s">
        <v>714</v>
      </c>
      <c r="U148" s="4" t="s">
        <v>136</v>
      </c>
      <c r="V148" s="2" t="s">
        <v>26</v>
      </c>
    </row>
    <row r="149" ht="60.0" customHeight="1">
      <c r="A149" s="2" t="s">
        <v>715</v>
      </c>
      <c r="B149" s="2" t="s">
        <v>38</v>
      </c>
      <c r="C149" s="4" t="s">
        <v>716</v>
      </c>
      <c r="D149" s="4" t="s">
        <v>717</v>
      </c>
      <c r="E149" s="4" t="s">
        <v>97</v>
      </c>
      <c r="F149" s="4" t="s">
        <v>76</v>
      </c>
      <c r="G149" s="2" t="b">
        <v>0</v>
      </c>
      <c r="H149" s="2" t="str">
        <f t="shared" si="1"/>
        <v>Dependency open</v>
      </c>
      <c r="I149" s="2"/>
      <c r="J149" s="2"/>
      <c r="K149" s="2"/>
      <c r="L149" s="2" t="s">
        <v>594</v>
      </c>
      <c r="M149" s="2"/>
      <c r="N149" s="2"/>
      <c r="O149" s="2" t="str">
        <f>IF(AND(OR(L149="",IFNA(VLOOKUP(L149,$A$6:$H$148,8,FALSE),"Missing")="Verified"),OR(M149="",IFNA(VLOOKUP(M149,$A$6:$H$148,8,FALSE),"Missing")="Verified"),OR(N149="",IFNA(VLOOKUP(N149,$A$6:$H$148,8,FALSE),"Missing")="Verified")),"Ready","Dependency open")</f>
        <v>Dependency open</v>
      </c>
      <c r="P149" s="4" t="s">
        <v>718</v>
      </c>
      <c r="Q149" s="4" t="s">
        <v>719</v>
      </c>
      <c r="R149" s="8"/>
      <c r="S149" s="8">
        <v>6000.0</v>
      </c>
      <c r="T149" s="2" t="s">
        <v>720</v>
      </c>
      <c r="U149" s="4" t="s">
        <v>81</v>
      </c>
      <c r="V149" s="2" t="s">
        <v>40</v>
      </c>
    </row>
    <row r="150" ht="60.0" customHeight="1">
      <c r="A150" s="2" t="s">
        <v>721</v>
      </c>
      <c r="B150" s="2" t="s">
        <v>38</v>
      </c>
      <c r="C150" s="4" t="s">
        <v>716</v>
      </c>
      <c r="D150" s="4" t="s">
        <v>722</v>
      </c>
      <c r="E150" s="4" t="s">
        <v>97</v>
      </c>
      <c r="F150" s="4" t="s">
        <v>76</v>
      </c>
      <c r="G150" s="2" t="b">
        <v>0</v>
      </c>
      <c r="H150" s="2" t="str">
        <f t="shared" si="1"/>
        <v>Dependency open</v>
      </c>
      <c r="I150" s="2"/>
      <c r="J150" s="2"/>
      <c r="K150" s="2"/>
      <c r="L150" s="2" t="s">
        <v>715</v>
      </c>
      <c r="M150" s="2"/>
      <c r="N150" s="2"/>
      <c r="O150" s="2" t="str">
        <f>IF(AND(OR(L150="",IFNA(VLOOKUP(L150,$A$6:$H$149,8,FALSE),"Missing")="Verified"),OR(M150="",IFNA(VLOOKUP(M150,$A$6:$H$149,8,FALSE),"Missing")="Verified"),OR(N150="",IFNA(VLOOKUP(N150,$A$6:$H$149,8,FALSE),"Missing")="Verified")),"Ready","Dependency open")</f>
        <v>Dependency open</v>
      </c>
      <c r="P150" s="4" t="s">
        <v>723</v>
      </c>
      <c r="Q150" s="4" t="s">
        <v>724</v>
      </c>
      <c r="R150" s="8"/>
      <c r="S150" s="8">
        <v>6000.0</v>
      </c>
      <c r="T150" s="2" t="s">
        <v>720</v>
      </c>
      <c r="U150" s="4" t="s">
        <v>81</v>
      </c>
      <c r="V150" s="2" t="s">
        <v>40</v>
      </c>
    </row>
    <row r="151" ht="60.0" customHeight="1">
      <c r="A151" s="2" t="s">
        <v>725</v>
      </c>
      <c r="B151" s="2" t="s">
        <v>38</v>
      </c>
      <c r="C151" s="4" t="s">
        <v>716</v>
      </c>
      <c r="D151" s="4" t="s">
        <v>726</v>
      </c>
      <c r="E151" s="4" t="s">
        <v>97</v>
      </c>
      <c r="F151" s="4" t="s">
        <v>76</v>
      </c>
      <c r="G151" s="2" t="b">
        <v>0</v>
      </c>
      <c r="H151" s="2" t="str">
        <f t="shared" si="1"/>
        <v>Dependency open</v>
      </c>
      <c r="I151" s="2"/>
      <c r="J151" s="2"/>
      <c r="K151" s="2"/>
      <c r="L151" s="2" t="s">
        <v>721</v>
      </c>
      <c r="M151" s="2"/>
      <c r="N151" s="2"/>
      <c r="O151" s="2" t="str">
        <f>IF(AND(OR(L151="",IFNA(VLOOKUP(L151,$A$6:$H$150,8,FALSE),"Missing")="Verified"),OR(M151="",IFNA(VLOOKUP(M151,$A$6:$H$150,8,FALSE),"Missing")="Verified"),OR(N151="",IFNA(VLOOKUP(N151,$A$6:$H$150,8,FALSE),"Missing")="Verified")),"Ready","Dependency open")</f>
        <v>Dependency open</v>
      </c>
      <c r="P151" s="4" t="s">
        <v>727</v>
      </c>
      <c r="Q151" s="4" t="s">
        <v>728</v>
      </c>
      <c r="R151" s="8"/>
      <c r="S151" s="8">
        <v>6000.0</v>
      </c>
      <c r="T151" s="2" t="s">
        <v>720</v>
      </c>
      <c r="U151" s="4" t="s">
        <v>81</v>
      </c>
      <c r="V151" s="2" t="s">
        <v>40</v>
      </c>
    </row>
    <row r="152" ht="60.0" customHeight="1">
      <c r="A152" s="2" t="s">
        <v>729</v>
      </c>
      <c r="B152" s="2" t="s">
        <v>38</v>
      </c>
      <c r="C152" s="4" t="s">
        <v>716</v>
      </c>
      <c r="D152" s="4" t="s">
        <v>730</v>
      </c>
      <c r="E152" s="4" t="s">
        <v>97</v>
      </c>
      <c r="F152" s="4" t="s">
        <v>76</v>
      </c>
      <c r="G152" s="2" t="b">
        <v>0</v>
      </c>
      <c r="H152" s="2" t="str">
        <f t="shared" si="1"/>
        <v>Dependency open</v>
      </c>
      <c r="I152" s="2"/>
      <c r="J152" s="2"/>
      <c r="K152" s="2"/>
      <c r="L152" s="2" t="s">
        <v>725</v>
      </c>
      <c r="M152" s="2"/>
      <c r="N152" s="2"/>
      <c r="O152" s="2" t="str">
        <f>IF(AND(OR(L152="",IFNA(VLOOKUP(L152,$A$6:$H$151,8,FALSE),"Missing")="Verified"),OR(M152="",IFNA(VLOOKUP(M152,$A$6:$H$151,8,FALSE),"Missing")="Verified"),OR(N152="",IFNA(VLOOKUP(N152,$A$6:$H$151,8,FALSE),"Missing")="Verified")),"Ready","Dependency open")</f>
        <v>Dependency open</v>
      </c>
      <c r="P152" s="4" t="s">
        <v>731</v>
      </c>
      <c r="Q152" s="4" t="s">
        <v>732</v>
      </c>
      <c r="R152" s="8"/>
      <c r="S152" s="8">
        <v>6000.0</v>
      </c>
      <c r="T152" s="2" t="s">
        <v>720</v>
      </c>
      <c r="U152" s="4" t="s">
        <v>81</v>
      </c>
      <c r="V152" s="2" t="s">
        <v>40</v>
      </c>
    </row>
    <row r="153" ht="60.0" customHeight="1">
      <c r="A153" s="2" t="s">
        <v>733</v>
      </c>
      <c r="B153" s="2" t="s">
        <v>38</v>
      </c>
      <c r="C153" s="4" t="s">
        <v>734</v>
      </c>
      <c r="D153" s="4" t="s">
        <v>735</v>
      </c>
      <c r="E153" s="4" t="s">
        <v>736</v>
      </c>
      <c r="F153" s="4" t="s">
        <v>76</v>
      </c>
      <c r="G153" s="2" t="b">
        <v>0</v>
      </c>
      <c r="H153" s="2" t="str">
        <f t="shared" si="1"/>
        <v>Dependency open</v>
      </c>
      <c r="I153" s="2"/>
      <c r="J153" s="2"/>
      <c r="K153" s="2"/>
      <c r="L153" s="2" t="s">
        <v>594</v>
      </c>
      <c r="M153" s="2"/>
      <c r="N153" s="2"/>
      <c r="O153" s="2" t="str">
        <f>IF(AND(OR(L153="",IFNA(VLOOKUP(L153,$A$6:$H$152,8,FALSE),"Missing")="Verified"),OR(M153="",IFNA(VLOOKUP(M153,$A$6:$H$152,8,FALSE),"Missing")="Verified"),OR(N153="",IFNA(VLOOKUP(N153,$A$6:$H$152,8,FALSE),"Missing")="Verified")),"Ready","Dependency open")</f>
        <v>Dependency open</v>
      </c>
      <c r="P153" s="4" t="s">
        <v>737</v>
      </c>
      <c r="Q153" s="4" t="s">
        <v>738</v>
      </c>
      <c r="R153" s="8"/>
      <c r="S153" s="8">
        <v>6000.0</v>
      </c>
      <c r="T153" s="2" t="s">
        <v>720</v>
      </c>
      <c r="U153" s="4" t="s">
        <v>81</v>
      </c>
      <c r="V153" s="2" t="s">
        <v>40</v>
      </c>
    </row>
    <row r="154" ht="60.0" customHeight="1">
      <c r="A154" s="2" t="s">
        <v>739</v>
      </c>
      <c r="B154" s="2" t="s">
        <v>38</v>
      </c>
      <c r="C154" s="4" t="s">
        <v>734</v>
      </c>
      <c r="D154" s="4" t="s">
        <v>740</v>
      </c>
      <c r="E154" s="4" t="s">
        <v>736</v>
      </c>
      <c r="F154" s="4" t="s">
        <v>76</v>
      </c>
      <c r="G154" s="2" t="b">
        <v>0</v>
      </c>
      <c r="H154" s="2" t="str">
        <f t="shared" si="1"/>
        <v>Dependency open</v>
      </c>
      <c r="I154" s="2"/>
      <c r="J154" s="2"/>
      <c r="K154" s="2"/>
      <c r="L154" s="2" t="s">
        <v>733</v>
      </c>
      <c r="M154" s="2"/>
      <c r="N154" s="2"/>
      <c r="O154" s="2" t="str">
        <f>IF(AND(OR(L154="",IFNA(VLOOKUP(L154,$A$6:$H$153,8,FALSE),"Missing")="Verified"),OR(M154="",IFNA(VLOOKUP(M154,$A$6:$H$153,8,FALSE),"Missing")="Verified"),OR(N154="",IFNA(VLOOKUP(N154,$A$6:$H$153,8,FALSE),"Missing")="Verified")),"Ready","Dependency open")</f>
        <v>Dependency open</v>
      </c>
      <c r="P154" s="4" t="s">
        <v>741</v>
      </c>
      <c r="Q154" s="4" t="s">
        <v>742</v>
      </c>
      <c r="R154" s="8"/>
      <c r="S154" s="8">
        <v>6000.0</v>
      </c>
      <c r="T154" s="2" t="s">
        <v>720</v>
      </c>
      <c r="U154" s="4" t="s">
        <v>81</v>
      </c>
      <c r="V154" s="2" t="s">
        <v>40</v>
      </c>
    </row>
    <row r="155" ht="60.0" customHeight="1">
      <c r="A155" s="2" t="s">
        <v>743</v>
      </c>
      <c r="B155" s="2" t="s">
        <v>38</v>
      </c>
      <c r="C155" s="4" t="s">
        <v>734</v>
      </c>
      <c r="D155" s="4" t="s">
        <v>744</v>
      </c>
      <c r="E155" s="4" t="s">
        <v>736</v>
      </c>
      <c r="F155" s="4" t="s">
        <v>76</v>
      </c>
      <c r="G155" s="2" t="b">
        <v>0</v>
      </c>
      <c r="H155" s="2" t="str">
        <f t="shared" si="1"/>
        <v>Dependency open</v>
      </c>
      <c r="I155" s="2"/>
      <c r="J155" s="2"/>
      <c r="K155" s="2"/>
      <c r="L155" s="2" t="s">
        <v>739</v>
      </c>
      <c r="M155" s="2"/>
      <c r="N155" s="2"/>
      <c r="O155" s="2" t="str">
        <f>IF(AND(OR(L155="",IFNA(VLOOKUP(L155,$A$6:$H$154,8,FALSE),"Missing")="Verified"),OR(M155="",IFNA(VLOOKUP(M155,$A$6:$H$154,8,FALSE),"Missing")="Verified"),OR(N155="",IFNA(VLOOKUP(N155,$A$6:$H$154,8,FALSE),"Missing")="Verified")),"Ready","Dependency open")</f>
        <v>Dependency open</v>
      </c>
      <c r="P155" s="4" t="s">
        <v>745</v>
      </c>
      <c r="Q155" s="4" t="s">
        <v>746</v>
      </c>
      <c r="R155" s="8"/>
      <c r="S155" s="8">
        <v>6000.0</v>
      </c>
      <c r="T155" s="2" t="s">
        <v>720</v>
      </c>
      <c r="U155" s="4" t="s">
        <v>81</v>
      </c>
      <c r="V155" s="2" t="s">
        <v>40</v>
      </c>
    </row>
    <row r="156" ht="60.0" customHeight="1">
      <c r="A156" s="2" t="s">
        <v>747</v>
      </c>
      <c r="B156" s="2" t="s">
        <v>38</v>
      </c>
      <c r="C156" s="4" t="s">
        <v>734</v>
      </c>
      <c r="D156" s="4" t="s">
        <v>748</v>
      </c>
      <c r="E156" s="4" t="s">
        <v>736</v>
      </c>
      <c r="F156" s="4" t="s">
        <v>76</v>
      </c>
      <c r="G156" s="2" t="b">
        <v>0</v>
      </c>
      <c r="H156" s="2" t="str">
        <f t="shared" si="1"/>
        <v>Dependency open</v>
      </c>
      <c r="I156" s="2"/>
      <c r="J156" s="2"/>
      <c r="K156" s="2"/>
      <c r="L156" s="2" t="s">
        <v>743</v>
      </c>
      <c r="M156" s="2"/>
      <c r="N156" s="2"/>
      <c r="O156" s="2" t="str">
        <f>IF(AND(OR(L156="",IFNA(VLOOKUP(L156,$A$6:$H$155,8,FALSE),"Missing")="Verified"),OR(M156="",IFNA(VLOOKUP(M156,$A$6:$H$155,8,FALSE),"Missing")="Verified"),OR(N156="",IFNA(VLOOKUP(N156,$A$6:$H$155,8,FALSE),"Missing")="Verified")),"Ready","Dependency open")</f>
        <v>Dependency open</v>
      </c>
      <c r="P156" s="4" t="s">
        <v>749</v>
      </c>
      <c r="Q156" s="4" t="s">
        <v>750</v>
      </c>
      <c r="R156" s="8"/>
      <c r="S156" s="8">
        <v>6000.0</v>
      </c>
      <c r="T156" s="2" t="s">
        <v>720</v>
      </c>
      <c r="U156" s="4" t="s">
        <v>81</v>
      </c>
      <c r="V156" s="2" t="s">
        <v>40</v>
      </c>
    </row>
    <row r="157" ht="60.0" customHeight="1">
      <c r="A157" s="2" t="s">
        <v>751</v>
      </c>
      <c r="B157" s="2" t="s">
        <v>38</v>
      </c>
      <c r="C157" s="4" t="s">
        <v>752</v>
      </c>
      <c r="D157" s="4" t="s">
        <v>753</v>
      </c>
      <c r="E157" s="4" t="s">
        <v>754</v>
      </c>
      <c r="F157" s="4" t="s">
        <v>76</v>
      </c>
      <c r="G157" s="2" t="b">
        <v>0</v>
      </c>
      <c r="H157" s="2" t="str">
        <f t="shared" si="1"/>
        <v>Dependency open</v>
      </c>
      <c r="I157" s="2"/>
      <c r="J157" s="2"/>
      <c r="K157" s="2"/>
      <c r="L157" s="2" t="s">
        <v>594</v>
      </c>
      <c r="M157" s="2"/>
      <c r="N157" s="2"/>
      <c r="O157" s="2" t="str">
        <f>IF(AND(OR(L157="",IFNA(VLOOKUP(L157,$A$6:$H$156,8,FALSE),"Missing")="Verified"),OR(M157="",IFNA(VLOOKUP(M157,$A$6:$H$156,8,FALSE),"Missing")="Verified"),OR(N157="",IFNA(VLOOKUP(N157,$A$6:$H$156,8,FALSE),"Missing")="Verified")),"Ready","Dependency open")</f>
        <v>Dependency open</v>
      </c>
      <c r="P157" s="4" t="s">
        <v>755</v>
      </c>
      <c r="Q157" s="4" t="s">
        <v>756</v>
      </c>
      <c r="R157" s="8"/>
      <c r="S157" s="8">
        <v>6000.0</v>
      </c>
      <c r="T157" s="2" t="s">
        <v>720</v>
      </c>
      <c r="U157" s="4" t="s">
        <v>81</v>
      </c>
      <c r="V157" s="2" t="s">
        <v>40</v>
      </c>
    </row>
    <row r="158" ht="60.0" customHeight="1">
      <c r="A158" s="2" t="s">
        <v>757</v>
      </c>
      <c r="B158" s="2" t="s">
        <v>38</v>
      </c>
      <c r="C158" s="4" t="s">
        <v>752</v>
      </c>
      <c r="D158" s="4" t="s">
        <v>758</v>
      </c>
      <c r="E158" s="4" t="s">
        <v>754</v>
      </c>
      <c r="F158" s="4" t="s">
        <v>76</v>
      </c>
      <c r="G158" s="2" t="b">
        <v>0</v>
      </c>
      <c r="H158" s="2" t="str">
        <f t="shared" si="1"/>
        <v>Dependency open</v>
      </c>
      <c r="I158" s="2"/>
      <c r="J158" s="2"/>
      <c r="K158" s="2"/>
      <c r="L158" s="2" t="s">
        <v>751</v>
      </c>
      <c r="M158" s="2"/>
      <c r="N158" s="2"/>
      <c r="O158" s="2" t="str">
        <f>IF(AND(OR(L158="",IFNA(VLOOKUP(L158,$A$6:$H$157,8,FALSE),"Missing")="Verified"),OR(M158="",IFNA(VLOOKUP(M158,$A$6:$H$157,8,FALSE),"Missing")="Verified"),OR(N158="",IFNA(VLOOKUP(N158,$A$6:$H$157,8,FALSE),"Missing")="Verified")),"Ready","Dependency open")</f>
        <v>Dependency open</v>
      </c>
      <c r="P158" s="4" t="s">
        <v>759</v>
      </c>
      <c r="Q158" s="4" t="s">
        <v>760</v>
      </c>
      <c r="R158" s="8"/>
      <c r="S158" s="8">
        <v>6000.0</v>
      </c>
      <c r="T158" s="2" t="s">
        <v>720</v>
      </c>
      <c r="U158" s="4" t="s">
        <v>81</v>
      </c>
      <c r="V158" s="2" t="s">
        <v>40</v>
      </c>
    </row>
    <row r="159" ht="60.0" customHeight="1">
      <c r="A159" s="2" t="s">
        <v>761</v>
      </c>
      <c r="B159" s="2" t="s">
        <v>38</v>
      </c>
      <c r="C159" s="4" t="s">
        <v>752</v>
      </c>
      <c r="D159" s="4" t="s">
        <v>762</v>
      </c>
      <c r="E159" s="4" t="s">
        <v>754</v>
      </c>
      <c r="F159" s="4" t="s">
        <v>76</v>
      </c>
      <c r="G159" s="2" t="b">
        <v>0</v>
      </c>
      <c r="H159" s="2" t="str">
        <f t="shared" si="1"/>
        <v>Dependency open</v>
      </c>
      <c r="I159" s="2"/>
      <c r="J159" s="2"/>
      <c r="K159" s="2"/>
      <c r="L159" s="2" t="s">
        <v>757</v>
      </c>
      <c r="M159" s="2"/>
      <c r="N159" s="2"/>
      <c r="O159" s="2" t="str">
        <f>IF(AND(OR(L159="",IFNA(VLOOKUP(L159,$A$6:$H$158,8,FALSE),"Missing")="Verified"),OR(M159="",IFNA(VLOOKUP(M159,$A$6:$H$158,8,FALSE),"Missing")="Verified"),OR(N159="",IFNA(VLOOKUP(N159,$A$6:$H$158,8,FALSE),"Missing")="Verified")),"Ready","Dependency open")</f>
        <v>Dependency open</v>
      </c>
      <c r="P159" s="4" t="s">
        <v>763</v>
      </c>
      <c r="Q159" s="4" t="s">
        <v>764</v>
      </c>
      <c r="R159" s="8"/>
      <c r="S159" s="8">
        <v>6000.0</v>
      </c>
      <c r="T159" s="2" t="s">
        <v>720</v>
      </c>
      <c r="U159" s="4" t="s">
        <v>81</v>
      </c>
      <c r="V159" s="2" t="s">
        <v>40</v>
      </c>
    </row>
    <row r="160" ht="60.0" customHeight="1">
      <c r="A160" s="2" t="s">
        <v>765</v>
      </c>
      <c r="B160" s="2" t="s">
        <v>38</v>
      </c>
      <c r="C160" s="4" t="s">
        <v>752</v>
      </c>
      <c r="D160" s="4" t="s">
        <v>766</v>
      </c>
      <c r="E160" s="4" t="s">
        <v>754</v>
      </c>
      <c r="F160" s="4" t="s">
        <v>76</v>
      </c>
      <c r="G160" s="2" t="b">
        <v>0</v>
      </c>
      <c r="H160" s="2" t="str">
        <f t="shared" si="1"/>
        <v>Dependency open</v>
      </c>
      <c r="I160" s="2"/>
      <c r="J160" s="2"/>
      <c r="K160" s="2"/>
      <c r="L160" s="2" t="s">
        <v>761</v>
      </c>
      <c r="M160" s="2"/>
      <c r="N160" s="2"/>
      <c r="O160" s="2" t="str">
        <f>IF(AND(OR(L160="",IFNA(VLOOKUP(L160,$A$6:$H$159,8,FALSE),"Missing")="Verified"),OR(M160="",IFNA(VLOOKUP(M160,$A$6:$H$159,8,FALSE),"Missing")="Verified"),OR(N160="",IFNA(VLOOKUP(N160,$A$6:$H$159,8,FALSE),"Missing")="Verified")),"Ready","Dependency open")</f>
        <v>Dependency open</v>
      </c>
      <c r="P160" s="4" t="s">
        <v>767</v>
      </c>
      <c r="Q160" s="4" t="s">
        <v>768</v>
      </c>
      <c r="R160" s="8"/>
      <c r="S160" s="8">
        <v>6000.0</v>
      </c>
      <c r="T160" s="2" t="s">
        <v>720</v>
      </c>
      <c r="U160" s="4" t="s">
        <v>81</v>
      </c>
      <c r="V160" s="2" t="s">
        <v>40</v>
      </c>
    </row>
    <row r="161" ht="60.0" customHeight="1">
      <c r="A161" s="2" t="s">
        <v>769</v>
      </c>
      <c r="B161" s="2" t="s">
        <v>38</v>
      </c>
      <c r="C161" s="4" t="s">
        <v>770</v>
      </c>
      <c r="D161" s="4" t="s">
        <v>771</v>
      </c>
      <c r="E161" s="4" t="s">
        <v>132</v>
      </c>
      <c r="F161" s="4" t="s">
        <v>76</v>
      </c>
      <c r="G161" s="2" t="b">
        <v>0</v>
      </c>
      <c r="H161" s="2" t="str">
        <f t="shared" si="1"/>
        <v>Dependency open</v>
      </c>
      <c r="I161" s="2"/>
      <c r="J161" s="2"/>
      <c r="K161" s="2"/>
      <c r="L161" s="2" t="s">
        <v>729</v>
      </c>
      <c r="M161" s="2" t="s">
        <v>747</v>
      </c>
      <c r="N161" s="2" t="s">
        <v>765</v>
      </c>
      <c r="O161" s="2" t="str">
        <f>IF(AND(OR(L161="",IFNA(VLOOKUP(L161,$A$6:$H$160,8,FALSE),"Missing")="Verified"),OR(M161="",IFNA(VLOOKUP(M161,$A$6:$H$160,8,FALSE),"Missing")="Verified"),OR(N161="",IFNA(VLOOKUP(N161,$A$6:$H$160,8,FALSE),"Missing")="Verified")),"Ready","Dependency open")</f>
        <v>Dependency open</v>
      </c>
      <c r="P161" s="4" t="s">
        <v>133</v>
      </c>
      <c r="Q161" s="4" t="s">
        <v>134</v>
      </c>
      <c r="R161" s="8"/>
      <c r="S161" s="8">
        <v>4000.0</v>
      </c>
      <c r="T161" s="2" t="s">
        <v>772</v>
      </c>
      <c r="U161" s="4" t="s">
        <v>136</v>
      </c>
      <c r="V161" s="2" t="s">
        <v>40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V$161"/>
  <conditionalFormatting sqref="H6:H161">
    <cfRule type="expression" dxfId="0" priority="1">
      <formula>OR($H6="Duplicate ID",$H6="Evidence required",$H6="Check completion")</formula>
    </cfRule>
  </conditionalFormatting>
  <conditionalFormatting sqref="H6:H161">
    <cfRule type="expression" dxfId="1" priority="2">
      <formula>$H6="Dependency open"</formula>
    </cfRule>
  </conditionalFormatting>
  <conditionalFormatting sqref="H6:H161">
    <cfRule type="expression" dxfId="2" priority="3">
      <formula>$H6="Verified"</formula>
    </cfRule>
  </conditionalFormatting>
  <dataValidations>
    <dataValidation type="list" allowBlank="1" showErrorMessage="1" sqref="F6:F161">
      <formula1>"Not started,In progress,Blocked,In review,Complete"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5"/>
    <col customWidth="1" min="2" max="2" width="21.25"/>
    <col customWidth="1" min="3" max="3" width="17.5"/>
    <col customWidth="1" min="4" max="4" width="47.5"/>
    <col customWidth="1" min="5" max="5" width="40.0"/>
    <col customWidth="1" min="6" max="6" width="43.75"/>
    <col customWidth="1" min="7" max="7" width="21.25"/>
    <col customWidth="1" min="8" max="8" width="15.63"/>
    <col customWidth="1" min="9" max="9" width="43.75"/>
    <col customWidth="1" min="10" max="10" width="28.75"/>
    <col customWidth="1" min="11" max="11" width="17.5"/>
    <col customWidth="1" min="12" max="12" width="16.25"/>
    <col customWidth="1" min="13" max="26" width="8.63"/>
  </cols>
  <sheetData>
    <row r="1" ht="25.5" customHeight="1">
      <c r="A1" s="1" t="s">
        <v>773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 t="s">
        <v>774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31.5" customHeight="1">
      <c r="A5" s="3" t="s">
        <v>775</v>
      </c>
      <c r="B5" s="3" t="s">
        <v>776</v>
      </c>
      <c r="C5" s="3" t="s">
        <v>777</v>
      </c>
      <c r="D5" s="3" t="s">
        <v>778</v>
      </c>
      <c r="E5" s="3" t="s">
        <v>779</v>
      </c>
      <c r="F5" s="3" t="s">
        <v>780</v>
      </c>
      <c r="G5" s="3" t="s">
        <v>781</v>
      </c>
      <c r="H5" s="3" t="s">
        <v>782</v>
      </c>
      <c r="I5" s="3" t="s">
        <v>783</v>
      </c>
      <c r="J5" s="3" t="s">
        <v>784</v>
      </c>
      <c r="K5" s="3" t="s">
        <v>785</v>
      </c>
      <c r="L5" s="3" t="s">
        <v>786</v>
      </c>
    </row>
    <row r="6" ht="84.0" customHeight="1">
      <c r="A6" s="4" t="s">
        <v>787</v>
      </c>
      <c r="B6" s="4" t="s">
        <v>788</v>
      </c>
      <c r="C6" s="4" t="s">
        <v>789</v>
      </c>
      <c r="D6" s="4" t="s">
        <v>790</v>
      </c>
      <c r="E6" s="4" t="s">
        <v>791</v>
      </c>
      <c r="F6" s="4" t="s">
        <v>792</v>
      </c>
      <c r="G6" s="4" t="s">
        <v>75</v>
      </c>
      <c r="H6" s="4" t="s">
        <v>86</v>
      </c>
      <c r="I6" s="4" t="s">
        <v>793</v>
      </c>
      <c r="J6" s="4"/>
      <c r="K6" s="4"/>
      <c r="L6" s="4"/>
    </row>
    <row r="7" ht="84.0" customHeight="1">
      <c r="A7" s="4" t="s">
        <v>794</v>
      </c>
      <c r="B7" s="4" t="s">
        <v>795</v>
      </c>
      <c r="C7" s="4" t="s">
        <v>789</v>
      </c>
      <c r="D7" s="4" t="s">
        <v>796</v>
      </c>
      <c r="E7" s="4" t="s">
        <v>797</v>
      </c>
      <c r="F7" s="4" t="s">
        <v>798</v>
      </c>
      <c r="G7" s="4" t="s">
        <v>799</v>
      </c>
      <c r="H7" s="4" t="s">
        <v>594</v>
      </c>
      <c r="I7" s="4" t="s">
        <v>800</v>
      </c>
      <c r="J7" s="4"/>
      <c r="K7" s="4"/>
      <c r="L7" s="4"/>
    </row>
    <row r="8" ht="84.0" customHeight="1">
      <c r="A8" s="4" t="s">
        <v>801</v>
      </c>
      <c r="B8" s="4" t="s">
        <v>802</v>
      </c>
      <c r="C8" s="4" t="s">
        <v>803</v>
      </c>
      <c r="D8" s="4" t="s">
        <v>804</v>
      </c>
      <c r="E8" s="4" t="s">
        <v>805</v>
      </c>
      <c r="F8" s="4" t="s">
        <v>806</v>
      </c>
      <c r="G8" s="4" t="s">
        <v>97</v>
      </c>
      <c r="H8" s="4" t="s">
        <v>191</v>
      </c>
      <c r="I8" s="4" t="s">
        <v>807</v>
      </c>
      <c r="J8" s="4"/>
      <c r="K8" s="4"/>
      <c r="L8" s="4"/>
    </row>
    <row r="9" ht="84.0" customHeight="1">
      <c r="A9" s="4" t="s">
        <v>808</v>
      </c>
      <c r="B9" s="4" t="s">
        <v>809</v>
      </c>
      <c r="C9" s="4" t="s">
        <v>810</v>
      </c>
      <c r="D9" s="4" t="s">
        <v>811</v>
      </c>
      <c r="E9" s="4" t="s">
        <v>812</v>
      </c>
      <c r="F9" s="4" t="s">
        <v>813</v>
      </c>
      <c r="G9" s="4" t="s">
        <v>814</v>
      </c>
      <c r="H9" s="4" t="s">
        <v>173</v>
      </c>
      <c r="I9" s="4" t="s">
        <v>815</v>
      </c>
      <c r="J9" s="4"/>
      <c r="K9" s="4"/>
      <c r="L9" s="4"/>
    </row>
    <row r="10" ht="84.0" customHeight="1">
      <c r="A10" s="4" t="s">
        <v>816</v>
      </c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 t="s">
        <v>97</v>
      </c>
      <c r="H10" s="4" t="s">
        <v>169</v>
      </c>
      <c r="I10" s="4" t="s">
        <v>822</v>
      </c>
      <c r="J10" s="4"/>
      <c r="K10" s="4"/>
      <c r="L10" s="4"/>
    </row>
    <row r="11" ht="84.0" customHeight="1">
      <c r="A11" s="4" t="s">
        <v>823</v>
      </c>
      <c r="B11" s="4" t="s">
        <v>824</v>
      </c>
      <c r="C11" s="4" t="s">
        <v>825</v>
      </c>
      <c r="D11" s="4" t="s">
        <v>826</v>
      </c>
      <c r="E11" s="4" t="s">
        <v>827</v>
      </c>
      <c r="F11" s="4" t="s">
        <v>828</v>
      </c>
      <c r="G11" s="4" t="s">
        <v>829</v>
      </c>
      <c r="H11" s="4" t="s">
        <v>152</v>
      </c>
      <c r="I11" s="4" t="s">
        <v>830</v>
      </c>
      <c r="J11" s="4"/>
      <c r="K11" s="4"/>
      <c r="L11" s="4"/>
    </row>
    <row r="12" ht="84.0" customHeight="1">
      <c r="A12" s="4" t="s">
        <v>831</v>
      </c>
      <c r="B12" s="4" t="s">
        <v>832</v>
      </c>
      <c r="C12" s="4" t="s">
        <v>825</v>
      </c>
      <c r="D12" s="4" t="s">
        <v>833</v>
      </c>
      <c r="E12" s="4" t="s">
        <v>834</v>
      </c>
      <c r="F12" s="4" t="s">
        <v>835</v>
      </c>
      <c r="G12" s="4" t="s">
        <v>97</v>
      </c>
      <c r="H12" s="4" t="s">
        <v>284</v>
      </c>
      <c r="I12" s="4" t="s">
        <v>836</v>
      </c>
      <c r="J12" s="4"/>
      <c r="K12" s="4"/>
      <c r="L12" s="4"/>
    </row>
    <row r="13" ht="84.0" customHeight="1">
      <c r="A13" s="4" t="s">
        <v>837</v>
      </c>
      <c r="B13" s="4" t="s">
        <v>838</v>
      </c>
      <c r="C13" s="4" t="s">
        <v>825</v>
      </c>
      <c r="D13" s="4" t="s">
        <v>839</v>
      </c>
      <c r="E13" s="4" t="s">
        <v>840</v>
      </c>
      <c r="F13" s="4" t="s">
        <v>841</v>
      </c>
      <c r="G13" s="4" t="s">
        <v>842</v>
      </c>
      <c r="H13" s="4" t="s">
        <v>424</v>
      </c>
      <c r="I13" s="4" t="s">
        <v>843</v>
      </c>
      <c r="J13" s="4"/>
      <c r="K13" s="4"/>
      <c r="L13" s="4"/>
    </row>
    <row r="14" ht="84.0" customHeight="1">
      <c r="A14" s="4" t="s">
        <v>844</v>
      </c>
      <c r="B14" s="4" t="s">
        <v>845</v>
      </c>
      <c r="C14" s="4" t="s">
        <v>803</v>
      </c>
      <c r="D14" s="4" t="s">
        <v>846</v>
      </c>
      <c r="E14" s="4" t="s">
        <v>847</v>
      </c>
      <c r="F14" s="4" t="s">
        <v>848</v>
      </c>
      <c r="G14" s="4" t="s">
        <v>849</v>
      </c>
      <c r="H14" s="4" t="s">
        <v>302</v>
      </c>
      <c r="I14" s="4" t="s">
        <v>850</v>
      </c>
      <c r="J14" s="4"/>
      <c r="K14" s="4"/>
      <c r="L14" s="4"/>
    </row>
    <row r="15" ht="84.0" customHeight="1">
      <c r="A15" s="4" t="s">
        <v>851</v>
      </c>
      <c r="B15" s="4" t="s">
        <v>852</v>
      </c>
      <c r="C15" s="4" t="s">
        <v>853</v>
      </c>
      <c r="D15" s="4" t="s">
        <v>854</v>
      </c>
      <c r="E15" s="4" t="s">
        <v>855</v>
      </c>
      <c r="F15" s="4" t="s">
        <v>856</v>
      </c>
      <c r="G15" s="4" t="s">
        <v>857</v>
      </c>
      <c r="H15" s="4" t="s">
        <v>424</v>
      </c>
      <c r="I15" s="4" t="s">
        <v>858</v>
      </c>
      <c r="J15" s="4"/>
      <c r="K15" s="4"/>
      <c r="L15" s="4"/>
    </row>
    <row r="16" ht="84.0" customHeight="1">
      <c r="A16" s="4" t="s">
        <v>859</v>
      </c>
      <c r="B16" s="4" t="s">
        <v>860</v>
      </c>
      <c r="C16" s="4" t="s">
        <v>803</v>
      </c>
      <c r="D16" s="4" t="s">
        <v>861</v>
      </c>
      <c r="E16" s="4" t="s">
        <v>862</v>
      </c>
      <c r="F16" s="4" t="s">
        <v>863</v>
      </c>
      <c r="G16" s="4" t="s">
        <v>864</v>
      </c>
      <c r="H16" s="4" t="s">
        <v>284</v>
      </c>
      <c r="I16" s="4" t="s">
        <v>865</v>
      </c>
      <c r="J16" s="4"/>
      <c r="K16" s="4"/>
      <c r="L16" s="4"/>
    </row>
    <row r="17" ht="84.0" customHeight="1">
      <c r="A17" s="4" t="s">
        <v>866</v>
      </c>
      <c r="B17" s="4" t="s">
        <v>867</v>
      </c>
      <c r="C17" s="4" t="s">
        <v>803</v>
      </c>
      <c r="D17" s="4" t="s">
        <v>868</v>
      </c>
      <c r="E17" s="4" t="s">
        <v>869</v>
      </c>
      <c r="F17" s="4" t="s">
        <v>870</v>
      </c>
      <c r="G17" s="4" t="s">
        <v>871</v>
      </c>
      <c r="H17" s="4" t="s">
        <v>298</v>
      </c>
      <c r="I17" s="4" t="s">
        <v>872</v>
      </c>
      <c r="J17" s="4"/>
      <c r="K17" s="4"/>
      <c r="L17" s="4"/>
    </row>
    <row r="18" ht="84.0" customHeight="1">
      <c r="A18" s="4" t="s">
        <v>873</v>
      </c>
      <c r="B18" s="4" t="s">
        <v>874</v>
      </c>
      <c r="C18" s="4" t="s">
        <v>803</v>
      </c>
      <c r="D18" s="4" t="s">
        <v>875</v>
      </c>
      <c r="E18" s="4" t="s">
        <v>876</v>
      </c>
      <c r="F18" s="4" t="s">
        <v>877</v>
      </c>
      <c r="G18" s="4" t="s">
        <v>878</v>
      </c>
      <c r="H18" s="4" t="s">
        <v>121</v>
      </c>
      <c r="I18" s="4" t="s">
        <v>879</v>
      </c>
      <c r="J18" s="4"/>
      <c r="K18" s="4"/>
      <c r="L18" s="4"/>
    </row>
    <row r="19" ht="84.0" customHeight="1">
      <c r="A19" s="4" t="s">
        <v>880</v>
      </c>
      <c r="B19" s="4" t="s">
        <v>881</v>
      </c>
      <c r="C19" s="4" t="s">
        <v>825</v>
      </c>
      <c r="D19" s="4" t="s">
        <v>882</v>
      </c>
      <c r="E19" s="4" t="s">
        <v>883</v>
      </c>
      <c r="F19" s="4" t="s">
        <v>884</v>
      </c>
      <c r="G19" s="4" t="s">
        <v>696</v>
      </c>
      <c r="H19" s="4" t="s">
        <v>590</v>
      </c>
      <c r="I19" s="4" t="s">
        <v>885</v>
      </c>
      <c r="J19" s="4"/>
      <c r="K19" s="4"/>
      <c r="L19" s="4"/>
    </row>
    <row r="20" ht="84.0" customHeight="1">
      <c r="A20" s="4" t="s">
        <v>886</v>
      </c>
      <c r="B20" s="4" t="s">
        <v>887</v>
      </c>
      <c r="C20" s="4" t="s">
        <v>853</v>
      </c>
      <c r="D20" s="4" t="s">
        <v>888</v>
      </c>
      <c r="E20" s="4" t="s">
        <v>889</v>
      </c>
      <c r="F20" s="4" t="s">
        <v>890</v>
      </c>
      <c r="G20" s="4" t="s">
        <v>620</v>
      </c>
      <c r="H20" s="4" t="s">
        <v>474</v>
      </c>
      <c r="I20" s="4" t="s">
        <v>891</v>
      </c>
      <c r="J20" s="4"/>
      <c r="K20" s="4"/>
      <c r="L20" s="4"/>
    </row>
    <row r="21" ht="84.0" customHeight="1">
      <c r="A21" s="4" t="s">
        <v>892</v>
      </c>
      <c r="B21" s="4" t="s">
        <v>893</v>
      </c>
      <c r="C21" s="4" t="s">
        <v>803</v>
      </c>
      <c r="D21" s="4" t="s">
        <v>894</v>
      </c>
      <c r="E21" s="4" t="s">
        <v>895</v>
      </c>
      <c r="F21" s="4" t="s">
        <v>896</v>
      </c>
      <c r="G21" s="4" t="s">
        <v>97</v>
      </c>
      <c r="H21" s="4" t="s">
        <v>117</v>
      </c>
      <c r="I21" s="4" t="s">
        <v>897</v>
      </c>
      <c r="J21" s="4"/>
      <c r="K21" s="4"/>
      <c r="L21" s="4"/>
    </row>
    <row r="22" ht="84.0" customHeight="1">
      <c r="A22" s="4" t="s">
        <v>898</v>
      </c>
      <c r="B22" s="4" t="s">
        <v>899</v>
      </c>
      <c r="C22" s="4" t="s">
        <v>803</v>
      </c>
      <c r="D22" s="4" t="s">
        <v>900</v>
      </c>
      <c r="E22" s="4" t="s">
        <v>901</v>
      </c>
      <c r="F22" s="4" t="s">
        <v>902</v>
      </c>
      <c r="G22" s="4" t="s">
        <v>97</v>
      </c>
      <c r="H22" s="4" t="s">
        <v>121</v>
      </c>
      <c r="I22" s="4" t="s">
        <v>903</v>
      </c>
      <c r="J22" s="4"/>
      <c r="K22" s="4"/>
      <c r="L22" s="4"/>
    </row>
    <row r="23" ht="84.0" customHeight="1">
      <c r="A23" s="4" t="s">
        <v>904</v>
      </c>
      <c r="B23" s="4" t="s">
        <v>905</v>
      </c>
      <c r="C23" s="4" t="s">
        <v>789</v>
      </c>
      <c r="D23" s="4" t="s">
        <v>906</v>
      </c>
      <c r="E23" s="4" t="s">
        <v>907</v>
      </c>
      <c r="F23" s="4" t="s">
        <v>908</v>
      </c>
      <c r="G23" s="4" t="s">
        <v>97</v>
      </c>
      <c r="H23" s="4" t="s">
        <v>183</v>
      </c>
      <c r="I23" s="4" t="s">
        <v>909</v>
      </c>
      <c r="J23" s="4"/>
      <c r="K23" s="4"/>
      <c r="L23" s="4"/>
    </row>
    <row r="24" ht="84.0" customHeight="1">
      <c r="A24" s="4" t="s">
        <v>910</v>
      </c>
      <c r="B24" s="4" t="s">
        <v>911</v>
      </c>
      <c r="C24" s="4" t="s">
        <v>803</v>
      </c>
      <c r="D24" s="4" t="s">
        <v>912</v>
      </c>
      <c r="E24" s="4" t="s">
        <v>913</v>
      </c>
      <c r="F24" s="4" t="s">
        <v>914</v>
      </c>
      <c r="G24" s="4" t="s">
        <v>915</v>
      </c>
      <c r="H24" s="4" t="s">
        <v>227</v>
      </c>
      <c r="I24" s="4" t="s">
        <v>916</v>
      </c>
      <c r="J24" s="4"/>
      <c r="K24" s="4"/>
      <c r="L24" s="4"/>
    </row>
    <row r="25" ht="84.0" customHeight="1">
      <c r="A25" s="4" t="s">
        <v>917</v>
      </c>
      <c r="B25" s="4" t="s">
        <v>918</v>
      </c>
      <c r="C25" s="4" t="s">
        <v>919</v>
      </c>
      <c r="D25" s="4" t="s">
        <v>920</v>
      </c>
      <c r="E25" s="4" t="s">
        <v>921</v>
      </c>
      <c r="F25" s="4" t="s">
        <v>922</v>
      </c>
      <c r="G25" s="4" t="s">
        <v>75</v>
      </c>
      <c r="H25" s="4" t="s">
        <v>125</v>
      </c>
      <c r="I25" s="4" t="s">
        <v>923</v>
      </c>
      <c r="J25" s="4"/>
      <c r="K25" s="4"/>
      <c r="L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75"/>
    <col customWidth="1" min="2" max="2" width="31.25"/>
    <col customWidth="1" min="3" max="3" width="11.25"/>
    <col customWidth="1" min="4" max="4" width="37.5"/>
    <col customWidth="1" min="5" max="5" width="43.75"/>
    <col customWidth="1" min="6" max="6" width="20.0"/>
    <col customWidth="1" min="7" max="7" width="16.25"/>
    <col customWidth="1" min="8" max="8" width="30.0"/>
    <col customWidth="1" min="9" max="9" width="18.75"/>
    <col customWidth="1" min="10" max="26" width="8.63"/>
  </cols>
  <sheetData>
    <row r="1" ht="25.5" customHeight="1">
      <c r="A1" s="1" t="s">
        <v>924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1.5" customHeight="1">
      <c r="A5" s="3" t="s">
        <v>925</v>
      </c>
      <c r="B5" s="3" t="s">
        <v>926</v>
      </c>
      <c r="C5" s="3" t="s">
        <v>927</v>
      </c>
      <c r="D5" s="3" t="s">
        <v>928</v>
      </c>
      <c r="E5" s="3" t="s">
        <v>929</v>
      </c>
      <c r="F5" s="3" t="s">
        <v>781</v>
      </c>
      <c r="G5" s="3" t="s">
        <v>782</v>
      </c>
      <c r="H5" s="3" t="s">
        <v>930</v>
      </c>
      <c r="I5" s="3" t="s">
        <v>777</v>
      </c>
    </row>
    <row r="6" ht="61.5" customHeight="1">
      <c r="A6" s="4" t="s">
        <v>931</v>
      </c>
      <c r="B6" s="4" t="s">
        <v>932</v>
      </c>
      <c r="C6" s="4" t="s">
        <v>810</v>
      </c>
      <c r="D6" s="4" t="s">
        <v>933</v>
      </c>
      <c r="E6" s="4" t="s">
        <v>934</v>
      </c>
      <c r="F6" s="4" t="s">
        <v>75</v>
      </c>
      <c r="G6" s="4" t="s">
        <v>82</v>
      </c>
      <c r="H6" s="4"/>
      <c r="I6" s="4" t="s">
        <v>935</v>
      </c>
    </row>
    <row r="7" ht="61.5" customHeight="1">
      <c r="A7" s="4" t="s">
        <v>936</v>
      </c>
      <c r="B7" s="4" t="s">
        <v>937</v>
      </c>
      <c r="C7" s="4" t="s">
        <v>810</v>
      </c>
      <c r="D7" s="4" t="s">
        <v>938</v>
      </c>
      <c r="E7" s="4" t="s">
        <v>939</v>
      </c>
      <c r="F7" s="4" t="s">
        <v>543</v>
      </c>
      <c r="G7" s="4" t="s">
        <v>108</v>
      </c>
      <c r="H7" s="4"/>
      <c r="I7" s="4" t="s">
        <v>935</v>
      </c>
    </row>
    <row r="8" ht="61.5" customHeight="1">
      <c r="A8" s="4" t="s">
        <v>940</v>
      </c>
      <c r="B8" s="4" t="s">
        <v>941</v>
      </c>
      <c r="C8" s="4" t="s">
        <v>810</v>
      </c>
      <c r="D8" s="4" t="s">
        <v>942</v>
      </c>
      <c r="E8" s="4" t="s">
        <v>943</v>
      </c>
      <c r="F8" s="4" t="s">
        <v>944</v>
      </c>
      <c r="G8" s="4" t="s">
        <v>424</v>
      </c>
      <c r="H8" s="4"/>
      <c r="I8" s="4" t="s">
        <v>935</v>
      </c>
    </row>
    <row r="9" ht="61.5" customHeight="1">
      <c r="A9" s="4" t="s">
        <v>945</v>
      </c>
      <c r="B9" s="4" t="s">
        <v>946</v>
      </c>
      <c r="C9" s="4" t="s">
        <v>810</v>
      </c>
      <c r="D9" s="4" t="s">
        <v>947</v>
      </c>
      <c r="E9" s="4" t="s">
        <v>948</v>
      </c>
      <c r="F9" s="4" t="s">
        <v>814</v>
      </c>
      <c r="G9" s="4" t="s">
        <v>173</v>
      </c>
      <c r="H9" s="4"/>
      <c r="I9" s="4" t="s">
        <v>935</v>
      </c>
    </row>
    <row r="10" ht="61.5" customHeight="1">
      <c r="A10" s="4" t="s">
        <v>949</v>
      </c>
      <c r="B10" s="4" t="s">
        <v>950</v>
      </c>
      <c r="C10" s="4" t="s">
        <v>810</v>
      </c>
      <c r="D10" s="4" t="s">
        <v>951</v>
      </c>
      <c r="E10" s="4" t="s">
        <v>952</v>
      </c>
      <c r="F10" s="4" t="s">
        <v>953</v>
      </c>
      <c r="G10" s="4" t="s">
        <v>551</v>
      </c>
      <c r="H10" s="4"/>
      <c r="I10" s="4" t="s">
        <v>935</v>
      </c>
    </row>
    <row r="11" ht="61.5" customHeight="1">
      <c r="A11" s="4" t="s">
        <v>954</v>
      </c>
      <c r="B11" s="4" t="s">
        <v>955</v>
      </c>
      <c r="C11" s="4" t="s">
        <v>810</v>
      </c>
      <c r="D11" s="4" t="s">
        <v>956</v>
      </c>
      <c r="E11" s="4" t="s">
        <v>957</v>
      </c>
      <c r="F11" s="4" t="s">
        <v>958</v>
      </c>
      <c r="G11" s="4" t="s">
        <v>302</v>
      </c>
      <c r="H11" s="4"/>
      <c r="I11" s="4" t="s">
        <v>935</v>
      </c>
    </row>
    <row r="12" ht="61.5" customHeight="1">
      <c r="A12" s="4" t="s">
        <v>959</v>
      </c>
      <c r="B12" s="4" t="s">
        <v>960</v>
      </c>
      <c r="C12" s="4" t="s">
        <v>810</v>
      </c>
      <c r="D12" s="4" t="s">
        <v>961</v>
      </c>
      <c r="E12" s="4" t="s">
        <v>962</v>
      </c>
      <c r="F12" s="4" t="s">
        <v>620</v>
      </c>
      <c r="G12" s="4" t="s">
        <v>449</v>
      </c>
      <c r="H12" s="4"/>
      <c r="I12" s="4" t="s">
        <v>935</v>
      </c>
    </row>
    <row r="13" ht="61.5" customHeight="1">
      <c r="A13" s="4" t="s">
        <v>963</v>
      </c>
      <c r="B13" s="4" t="s">
        <v>964</v>
      </c>
      <c r="C13" s="4" t="s">
        <v>810</v>
      </c>
      <c r="D13" s="4" t="s">
        <v>965</v>
      </c>
      <c r="E13" s="4" t="s">
        <v>966</v>
      </c>
      <c r="F13" s="4" t="s">
        <v>696</v>
      </c>
      <c r="G13" s="4" t="s">
        <v>590</v>
      </c>
      <c r="H13" s="4"/>
      <c r="I13" s="4" t="s">
        <v>935</v>
      </c>
    </row>
    <row r="14" ht="61.5" customHeight="1">
      <c r="A14" s="4" t="s">
        <v>967</v>
      </c>
      <c r="B14" s="4" t="s">
        <v>968</v>
      </c>
      <c r="C14" s="4" t="s">
        <v>810</v>
      </c>
      <c r="D14" s="4" t="s">
        <v>969</v>
      </c>
      <c r="E14" s="4" t="s">
        <v>970</v>
      </c>
      <c r="F14" s="4" t="s">
        <v>75</v>
      </c>
      <c r="G14" s="4" t="s">
        <v>572</v>
      </c>
      <c r="H14" s="4"/>
      <c r="I14" s="4" t="s">
        <v>935</v>
      </c>
    </row>
    <row r="15" ht="61.5" customHeight="1">
      <c r="A15" s="4" t="s">
        <v>971</v>
      </c>
      <c r="B15" s="4" t="s">
        <v>972</v>
      </c>
      <c r="C15" s="4" t="s">
        <v>810</v>
      </c>
      <c r="D15" s="4" t="s">
        <v>973</v>
      </c>
      <c r="E15" s="4" t="s">
        <v>974</v>
      </c>
      <c r="F15" s="4" t="s">
        <v>97</v>
      </c>
      <c r="G15" s="4" t="s">
        <v>121</v>
      </c>
      <c r="H15" s="4"/>
      <c r="I15" s="4" t="s">
        <v>935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0.0"/>
    <col customWidth="1" min="2" max="2" width="13.75"/>
    <col customWidth="1" min="3" max="3" width="31.25"/>
    <col customWidth="1" min="4" max="4" width="37.5"/>
    <col customWidth="1" min="5" max="5" width="30.0"/>
    <col customWidth="1" min="6" max="6" width="41.25"/>
    <col customWidth="1" min="7" max="7" width="37.5"/>
    <col customWidth="1" min="8" max="8" width="15.0"/>
    <col customWidth="1" min="9" max="9" width="30.0"/>
    <col customWidth="1" min="10" max="10" width="37.5"/>
    <col customWidth="1" min="11" max="26" width="8.63"/>
  </cols>
  <sheetData>
    <row r="1" ht="25.5" customHeight="1">
      <c r="A1" s="1" t="s">
        <v>975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1.5" customHeight="1">
      <c r="A5" s="3" t="s">
        <v>976</v>
      </c>
      <c r="B5" s="3" t="s">
        <v>977</v>
      </c>
      <c r="C5" s="3" t="s">
        <v>978</v>
      </c>
      <c r="D5" s="3" t="s">
        <v>979</v>
      </c>
      <c r="E5" s="3" t="s">
        <v>784</v>
      </c>
      <c r="F5" s="3" t="s">
        <v>980</v>
      </c>
      <c r="G5" s="3" t="s">
        <v>981</v>
      </c>
      <c r="H5" s="3" t="s">
        <v>982</v>
      </c>
      <c r="I5" s="3" t="s">
        <v>983</v>
      </c>
      <c r="J5" s="3" t="s">
        <v>984</v>
      </c>
    </row>
    <row r="6" ht="81.75" customHeight="1">
      <c r="A6" s="4" t="s">
        <v>985</v>
      </c>
      <c r="B6" s="4" t="s">
        <v>986</v>
      </c>
      <c r="C6" s="4" t="s">
        <v>987</v>
      </c>
      <c r="D6" s="4" t="s">
        <v>988</v>
      </c>
      <c r="E6" s="4" t="s">
        <v>989</v>
      </c>
      <c r="F6" s="4" t="s">
        <v>990</v>
      </c>
      <c r="G6" s="4" t="s">
        <v>991</v>
      </c>
      <c r="H6" s="4" t="s">
        <v>72</v>
      </c>
      <c r="I6" s="4" t="s">
        <v>992</v>
      </c>
      <c r="J6" s="4" t="s">
        <v>993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06.25"/>
    <col customWidth="1" min="3" max="26" width="8.63"/>
  </cols>
  <sheetData>
    <row r="1" ht="25.5" customHeight="1">
      <c r="A1" s="1" t="s">
        <v>994</v>
      </c>
      <c r="B1" s="2"/>
      <c r="C1" s="2"/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 ht="31.5" customHeight="1">
      <c r="A5" s="3" t="s">
        <v>995</v>
      </c>
      <c r="B5" s="3" t="s">
        <v>996</v>
      </c>
      <c r="C5" s="2"/>
    </row>
    <row r="6" ht="36.0" customHeight="1">
      <c r="A6" s="2" t="s">
        <v>997</v>
      </c>
      <c r="B6" s="4" t="s">
        <v>998</v>
      </c>
      <c r="C6" s="2"/>
    </row>
    <row r="7" ht="36.0" customHeight="1">
      <c r="A7" s="2" t="s">
        <v>999</v>
      </c>
      <c r="B7" s="4" t="s">
        <v>1000</v>
      </c>
      <c r="C7" s="2"/>
    </row>
    <row r="8" ht="36.0" customHeight="1">
      <c r="A8" s="2" t="s">
        <v>1001</v>
      </c>
      <c r="B8" s="4" t="s">
        <v>1002</v>
      </c>
      <c r="C8" s="2"/>
    </row>
    <row r="9" ht="36.0" customHeight="1">
      <c r="A9" s="2" t="s">
        <v>1003</v>
      </c>
      <c r="B9" s="4" t="s">
        <v>1004</v>
      </c>
      <c r="C9" s="2"/>
    </row>
    <row r="10" ht="36.0" customHeight="1">
      <c r="A10" s="2" t="s">
        <v>1005</v>
      </c>
      <c r="B10" s="4" t="s">
        <v>1006</v>
      </c>
      <c r="C10" s="2"/>
    </row>
    <row r="11" ht="36.0" customHeight="1">
      <c r="A11" s="2" t="s">
        <v>1007</v>
      </c>
      <c r="B11" s="4" t="s">
        <v>1008</v>
      </c>
      <c r="C11" s="2"/>
    </row>
    <row r="12" ht="36.0" customHeight="1">
      <c r="A12" s="2" t="s">
        <v>1009</v>
      </c>
      <c r="B12" s="4" t="s">
        <v>1010</v>
      </c>
      <c r="C12" s="2"/>
    </row>
    <row r="13" ht="36.0" customHeight="1">
      <c r="A13" s="2" t="s">
        <v>1011</v>
      </c>
      <c r="B13" s="4" t="s">
        <v>1012</v>
      </c>
      <c r="C13" s="2"/>
    </row>
    <row r="14" ht="36.0" customHeight="1">
      <c r="A14" s="2" t="s">
        <v>978</v>
      </c>
      <c r="B14" s="4" t="s">
        <v>1013</v>
      </c>
      <c r="C14" s="2"/>
    </row>
    <row r="15" ht="36.0" customHeight="1">
      <c r="A15" s="2" t="s">
        <v>1014</v>
      </c>
      <c r="B15" s="4" t="s">
        <v>1015</v>
      </c>
      <c r="C15" s="2"/>
    </row>
    <row r="16" ht="36.0" customHeight="1">
      <c r="A16" s="2" t="s">
        <v>1016</v>
      </c>
      <c r="B16" s="4" t="s">
        <v>1017</v>
      </c>
      <c r="C16" s="2"/>
    </row>
    <row r="17" ht="36.0" customHeight="1">
      <c r="A17" s="2" t="s">
        <v>1018</v>
      </c>
      <c r="B17" s="4" t="s">
        <v>1019</v>
      </c>
      <c r="C17" s="2"/>
    </row>
    <row r="18">
      <c r="A18" s="2"/>
      <c r="B18" s="2"/>
      <c r="C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